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0.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Infa\Data Analytics\"/>
    </mc:Choice>
  </mc:AlternateContent>
  <xr:revisionPtr revIDLastSave="0" documentId="13_ncr:1_{F887F85E-4F1F-4BC9-859D-7F680BE29565}" xr6:coauthVersionLast="47" xr6:coauthVersionMax="47" xr10:uidLastSave="{00000000-0000-0000-0000-000000000000}"/>
  <bookViews>
    <workbookView xWindow="-120" yWindow="-120" windowWidth="29040" windowHeight="15720" xr2:uid="{3B9D8F7D-3754-4157-A272-F0426024B598}"/>
  </bookViews>
  <sheets>
    <sheet name="Dashboard" sheetId="4" r:id="rId1"/>
    <sheet name="Pivot" sheetId="3" r:id="rId2"/>
    <sheet name="Employee Details" sheetId="2" r:id="rId3"/>
    <sheet name="Vlookup" sheetId="1" r:id="rId4"/>
  </sheets>
  <definedNames>
    <definedName name="_xlcn.WorksheetConnection_Employee_DetailsImport.xlsxSheet11" hidden="1">Sheet1[]</definedName>
    <definedName name="ExternalData_1" localSheetId="2" hidden="1">'Employee Details'!$A$1:$N$141</definedName>
    <definedName name="Slicer_Department">#N/A</definedName>
    <definedName name="Slicer_Gender">#N/A</definedName>
    <definedName name="Timeline_Date_of_Joining">#N/A</definedName>
  </definedNames>
  <calcPr calcId="191029"/>
  <pivotCaches>
    <pivotCache cacheId="382" r:id="rId5"/>
    <pivotCache cacheId="374" r:id="rId6"/>
    <pivotCache cacheId="375" r:id="rId7"/>
    <pivotCache cacheId="376" r:id="rId8"/>
    <pivotCache cacheId="378" r:id="rId9"/>
    <pivotCache cacheId="379" r:id="rId10"/>
    <pivotCache cacheId="386" r:id="rId11"/>
    <pivotCache cacheId="389" r:id="rId12"/>
  </pivotCaches>
  <extLst>
    <ext xmlns:x14="http://schemas.microsoft.com/office/spreadsheetml/2009/9/main" uri="{876F7934-8845-4945-9796-88D515C7AA90}">
      <x14:pivotCaches>
        <pivotCache cacheId="383" r:id="rId13"/>
      </x14:pivotCaches>
    </ex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93" r:id="rId16"/>
      </x15:timelineCachePivotCaches>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heet1" name="Sheet1" connection="WorksheetConnection_Employee_Details Import.xlsx!Sheet1"/>
        </x15:modelTables>
        <x15:extLst>
          <ext xmlns:x16="http://schemas.microsoft.com/office/spreadsheetml/2014/11/main" uri="{9835A34E-60A6-4A7C-AAB8-D5F71C897F49}">
            <x16:modelTimeGroupings>
              <x16:modelTimeGrouping tableName="Sheet1" columnName="Date of Joining" columnId="Date of Joining">
                <x16:calculatedTimeColumn columnName="Date of Joining (Year)" columnId="Date of Joining (Year)" contentType="years" isSelected="1"/>
                <x16:calculatedTimeColumn columnName="Date of Joining (Quarter)" columnId="Date of Joining (Quarter)" contentType="quarters" isSelected="1"/>
                <x16:calculatedTimeColumn columnName="Date of Joining (Month Index)" columnId="Date of Joining (Month Index)" contentType="monthsindex" isSelected="1"/>
                <x16:calculatedTimeColumn columnName="Date of Joining (Month)" columnId="Date of Joining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A18" i="2" l="1"/>
  <c r="AA16" i="2"/>
  <c r="AA15" i="2"/>
  <c r="AA14" i="2"/>
  <c r="AA13" i="2"/>
  <c r="AA12" i="2"/>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2" i="1"/>
  <c r="L58" i="1"/>
  <c r="L12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2"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2"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2" i="1"/>
  <c r="K2" i="2"/>
  <c r="J2" i="1" s="1"/>
  <c r="K3" i="2"/>
  <c r="J3" i="1" s="1"/>
  <c r="K4" i="2"/>
  <c r="K5" i="2"/>
  <c r="K6" i="2"/>
  <c r="K7" i="2"/>
  <c r="L7" i="1" s="1"/>
  <c r="K8" i="2"/>
  <c r="K8" i="1" s="1"/>
  <c r="K9" i="2"/>
  <c r="K9" i="1" s="1"/>
  <c r="K10" i="2"/>
  <c r="L10" i="1" s="1"/>
  <c r="K11" i="2"/>
  <c r="L11" i="1" s="1"/>
  <c r="K12" i="2"/>
  <c r="L12" i="1" s="1"/>
  <c r="K13" i="2"/>
  <c r="L13" i="1" s="1"/>
  <c r="K14" i="2"/>
  <c r="L14" i="1" s="1"/>
  <c r="K15" i="2"/>
  <c r="L15" i="1" s="1"/>
  <c r="K16" i="2"/>
  <c r="L16" i="1" s="1"/>
  <c r="K17" i="2"/>
  <c r="K18" i="2"/>
  <c r="L18" i="1" s="1"/>
  <c r="K19" i="2"/>
  <c r="K20" i="2"/>
  <c r="K21" i="2"/>
  <c r="K22" i="2"/>
  <c r="K23" i="2"/>
  <c r="L23" i="1" s="1"/>
  <c r="K24" i="2"/>
  <c r="K24" i="1" s="1"/>
  <c r="K25" i="2"/>
  <c r="L25" i="1" s="1"/>
  <c r="K26" i="2"/>
  <c r="L26" i="1" s="1"/>
  <c r="K27" i="2"/>
  <c r="L27" i="1" s="1"/>
  <c r="K28" i="2"/>
  <c r="L28" i="1" s="1"/>
  <c r="K29" i="2"/>
  <c r="L29" i="1" s="1"/>
  <c r="K30" i="2"/>
  <c r="L30" i="1" s="1"/>
  <c r="K31" i="2"/>
  <c r="L31" i="1" s="1"/>
  <c r="K32" i="2"/>
  <c r="L32" i="1" s="1"/>
  <c r="K33" i="2"/>
  <c r="K34" i="2"/>
  <c r="L34" i="1" s="1"/>
  <c r="K35" i="2"/>
  <c r="K36" i="2"/>
  <c r="K37" i="2"/>
  <c r="K38" i="2"/>
  <c r="K39" i="2"/>
  <c r="L39" i="1" s="1"/>
  <c r="K40" i="2"/>
  <c r="K40" i="1" s="1"/>
  <c r="K41" i="2"/>
  <c r="K41" i="1" s="1"/>
  <c r="K42" i="2"/>
  <c r="L42" i="1" s="1"/>
  <c r="K43" i="2"/>
  <c r="L43" i="1" s="1"/>
  <c r="K44" i="2"/>
  <c r="L44" i="1" s="1"/>
  <c r="K45" i="2"/>
  <c r="L45" i="1" s="1"/>
  <c r="K46" i="2"/>
  <c r="L46" i="1" s="1"/>
  <c r="K47" i="2"/>
  <c r="L47" i="1" s="1"/>
  <c r="K48" i="2"/>
  <c r="L48" i="1" s="1"/>
  <c r="K49" i="2"/>
  <c r="K50" i="2"/>
  <c r="L50" i="1" s="1"/>
  <c r="K51" i="2"/>
  <c r="J51" i="1" s="1"/>
  <c r="K52" i="2"/>
  <c r="K53" i="2"/>
  <c r="K54" i="2"/>
  <c r="K55" i="2"/>
  <c r="L55" i="1" s="1"/>
  <c r="K56" i="2"/>
  <c r="K56" i="1" s="1"/>
  <c r="K57" i="2"/>
  <c r="L57" i="1" s="1"/>
  <c r="K58" i="2"/>
  <c r="K59" i="2"/>
  <c r="L59" i="1" s="1"/>
  <c r="K60" i="2"/>
  <c r="L60" i="1" s="1"/>
  <c r="K61" i="2"/>
  <c r="L61" i="1" s="1"/>
  <c r="K62" i="2"/>
  <c r="L62" i="1" s="1"/>
  <c r="K63" i="2"/>
  <c r="L63" i="1" s="1"/>
  <c r="K64" i="2"/>
  <c r="L64" i="1" s="1"/>
  <c r="K65" i="2"/>
  <c r="L65" i="1" s="1"/>
  <c r="K66" i="2"/>
  <c r="L66" i="1" s="1"/>
  <c r="K67" i="2"/>
  <c r="K68" i="2"/>
  <c r="K69" i="2"/>
  <c r="K70" i="2"/>
  <c r="K71" i="2"/>
  <c r="L71" i="1" s="1"/>
  <c r="K72" i="2"/>
  <c r="K72" i="1" s="1"/>
  <c r="K73" i="2"/>
  <c r="K73" i="1" s="1"/>
  <c r="K74" i="2"/>
  <c r="L74" i="1" s="1"/>
  <c r="K75" i="2"/>
  <c r="L75" i="1" s="1"/>
  <c r="K76" i="2"/>
  <c r="L76" i="1" s="1"/>
  <c r="K77" i="2"/>
  <c r="L77" i="1" s="1"/>
  <c r="K78" i="2"/>
  <c r="L78" i="1" s="1"/>
  <c r="K79" i="2"/>
  <c r="L79" i="1" s="1"/>
  <c r="K80" i="2"/>
  <c r="L80" i="1" s="1"/>
  <c r="K81" i="2"/>
  <c r="L81" i="1" s="1"/>
  <c r="K82" i="2"/>
  <c r="L82" i="1" s="1"/>
  <c r="K83" i="2"/>
  <c r="K84" i="2"/>
  <c r="K85" i="2"/>
  <c r="K86" i="2"/>
  <c r="K87" i="2"/>
  <c r="L87" i="1" s="1"/>
  <c r="K88" i="2"/>
  <c r="K88" i="1" s="1"/>
  <c r="K89" i="2"/>
  <c r="L89" i="1" s="1"/>
  <c r="K90" i="2"/>
  <c r="L90" i="1" s="1"/>
  <c r="K91" i="2"/>
  <c r="L91" i="1" s="1"/>
  <c r="K92" i="2"/>
  <c r="L92" i="1" s="1"/>
  <c r="K93" i="2"/>
  <c r="L93" i="1" s="1"/>
  <c r="K94" i="2"/>
  <c r="L94" i="1" s="1"/>
  <c r="K95" i="2"/>
  <c r="L95" i="1" s="1"/>
  <c r="K96" i="2"/>
  <c r="L96" i="1" s="1"/>
  <c r="K97" i="2"/>
  <c r="L97" i="1" s="1"/>
  <c r="K98" i="2"/>
  <c r="L98" i="1" s="1"/>
  <c r="K99" i="2"/>
  <c r="J99" i="1" s="1"/>
  <c r="K100" i="2"/>
  <c r="K101" i="2"/>
  <c r="K102" i="2"/>
  <c r="K103" i="2"/>
  <c r="L103" i="1" s="1"/>
  <c r="K104" i="2"/>
  <c r="K104" i="1" s="1"/>
  <c r="K105" i="2"/>
  <c r="K105" i="1" s="1"/>
  <c r="K106" i="2"/>
  <c r="L106" i="1" s="1"/>
  <c r="K107" i="2"/>
  <c r="L107" i="1" s="1"/>
  <c r="K108" i="2"/>
  <c r="L108" i="1" s="1"/>
  <c r="K109" i="2"/>
  <c r="L109" i="1" s="1"/>
  <c r="K110" i="2"/>
  <c r="L110" i="1" s="1"/>
  <c r="K111" i="2"/>
  <c r="L111" i="1" s="1"/>
  <c r="K112" i="2"/>
  <c r="L112" i="1" s="1"/>
  <c r="K113" i="2"/>
  <c r="L113" i="1" s="1"/>
  <c r="K114" i="2"/>
  <c r="L114" i="1" s="1"/>
  <c r="K115" i="2"/>
  <c r="K116" i="2"/>
  <c r="K117" i="2"/>
  <c r="K118" i="2"/>
  <c r="K119" i="2"/>
  <c r="L119" i="1" s="1"/>
  <c r="K120" i="2"/>
  <c r="K120" i="1" s="1"/>
  <c r="K121" i="2"/>
  <c r="L121" i="1" s="1"/>
  <c r="K122" i="2"/>
  <c r="K123" i="2"/>
  <c r="L123" i="1" s="1"/>
  <c r="K124" i="2"/>
  <c r="L124" i="1" s="1"/>
  <c r="K125" i="2"/>
  <c r="L125" i="1" s="1"/>
  <c r="K126" i="2"/>
  <c r="L126" i="1" s="1"/>
  <c r="K127" i="2"/>
  <c r="L127" i="1" s="1"/>
  <c r="K128" i="2"/>
  <c r="L128" i="1" s="1"/>
  <c r="K129" i="2"/>
  <c r="L129" i="1" s="1"/>
  <c r="K130" i="2"/>
  <c r="L130" i="1" s="1"/>
  <c r="K131" i="2"/>
  <c r="K132" i="2"/>
  <c r="K133" i="2"/>
  <c r="K134" i="2"/>
  <c r="K135" i="2"/>
  <c r="L135" i="1" s="1"/>
  <c r="K136" i="2"/>
  <c r="K136" i="1" s="1"/>
  <c r="K137" i="2"/>
  <c r="K137" i="1" s="1"/>
  <c r="K138" i="2"/>
  <c r="L138" i="1" s="1"/>
  <c r="K139" i="2"/>
  <c r="L139" i="1" s="1"/>
  <c r="K140" i="2"/>
  <c r="L140" i="1" s="1"/>
  <c r="K141" i="2"/>
  <c r="L141" i="1" s="1"/>
  <c r="T34" i="2"/>
  <c r="T33" i="2"/>
  <c r="T32" i="2"/>
  <c r="T31" i="2"/>
  <c r="T30" i="2"/>
  <c r="AA17" i="2" l="1"/>
  <c r="J131" i="1"/>
  <c r="J115" i="1"/>
  <c r="J83" i="1"/>
  <c r="J67" i="1"/>
  <c r="J35" i="1"/>
  <c r="J19" i="1"/>
  <c r="J134" i="1"/>
  <c r="J102" i="1"/>
  <c r="J70" i="1"/>
  <c r="J38" i="1"/>
  <c r="J6" i="1"/>
  <c r="J133" i="1"/>
  <c r="J101" i="1"/>
  <c r="J69" i="1"/>
  <c r="J21" i="1"/>
  <c r="J118" i="1"/>
  <c r="J86" i="1"/>
  <c r="J54" i="1"/>
  <c r="J22" i="1"/>
  <c r="J117" i="1"/>
  <c r="J85" i="1"/>
  <c r="J53" i="1"/>
  <c r="J37" i="1"/>
  <c r="J5" i="1"/>
  <c r="J132" i="1"/>
  <c r="J116" i="1"/>
  <c r="J100" i="1"/>
  <c r="J84" i="1"/>
  <c r="J68" i="1"/>
  <c r="J52" i="1"/>
  <c r="J36" i="1"/>
  <c r="J20" i="1"/>
  <c r="J4" i="1"/>
  <c r="L53" i="1"/>
  <c r="L37" i="1"/>
  <c r="L5" i="1"/>
  <c r="L133" i="1"/>
  <c r="L21" i="1"/>
  <c r="L85" i="1"/>
  <c r="L117" i="1"/>
  <c r="L101" i="1"/>
  <c r="L69" i="1"/>
  <c r="L120" i="1"/>
  <c r="L104" i="1"/>
  <c r="L88" i="1"/>
  <c r="L72" i="1"/>
  <c r="L56" i="1"/>
  <c r="L40" i="1"/>
  <c r="L24" i="1"/>
  <c r="L8" i="1"/>
  <c r="L134" i="1"/>
  <c r="L118" i="1"/>
  <c r="L102" i="1"/>
  <c r="L86" i="1"/>
  <c r="L70" i="1"/>
  <c r="L54" i="1"/>
  <c r="L38" i="1"/>
  <c r="L22" i="1"/>
  <c r="L6" i="1"/>
  <c r="L137" i="1"/>
  <c r="L41" i="1"/>
  <c r="L136" i="1"/>
  <c r="L100" i="1"/>
  <c r="L131" i="1"/>
  <c r="L19" i="1"/>
  <c r="K33" i="1"/>
  <c r="L132" i="1"/>
  <c r="L52" i="1"/>
  <c r="L20" i="1"/>
  <c r="L99" i="1"/>
  <c r="L35" i="1"/>
  <c r="K49" i="1"/>
  <c r="L33" i="1"/>
  <c r="L105" i="1"/>
  <c r="L9" i="1"/>
  <c r="L51" i="1"/>
  <c r="L3" i="1"/>
  <c r="K81" i="1"/>
  <c r="K17" i="1"/>
  <c r="K128" i="1"/>
  <c r="L2" i="1"/>
  <c r="L73" i="1"/>
  <c r="L116" i="1"/>
  <c r="L67" i="1"/>
  <c r="K113" i="1"/>
  <c r="L84" i="1"/>
  <c r="L36" i="1"/>
  <c r="L4" i="1"/>
  <c r="L115" i="1"/>
  <c r="L49" i="1"/>
  <c r="L17" i="1"/>
  <c r="L68" i="1"/>
  <c r="L83" i="1"/>
  <c r="K138" i="1"/>
  <c r="K106" i="1"/>
  <c r="K74" i="1"/>
  <c r="K42" i="1"/>
  <c r="K10" i="1"/>
  <c r="J77" i="1"/>
  <c r="J135" i="1"/>
  <c r="J119" i="1"/>
  <c r="J103" i="1"/>
  <c r="J87" i="1"/>
  <c r="J71" i="1"/>
  <c r="J55" i="1"/>
  <c r="J39" i="1"/>
  <c r="J23" i="1"/>
  <c r="J7" i="1"/>
  <c r="J141" i="1"/>
  <c r="J125" i="1"/>
  <c r="J98" i="1"/>
  <c r="J18" i="1"/>
  <c r="J130" i="1"/>
  <c r="J66" i="1"/>
  <c r="J50" i="1"/>
  <c r="J114" i="1"/>
  <c r="J82" i="1"/>
  <c r="J34" i="1"/>
  <c r="J126" i="1"/>
  <c r="J110" i="1"/>
  <c r="J94" i="1"/>
  <c r="J78" i="1"/>
  <c r="J62" i="1"/>
  <c r="J46" i="1"/>
  <c r="J30" i="1"/>
  <c r="J14" i="1"/>
  <c r="J93" i="1"/>
  <c r="J61" i="1"/>
  <c r="J29" i="1"/>
  <c r="J13" i="1"/>
  <c r="J109" i="1"/>
  <c r="J45" i="1"/>
  <c r="K53" i="1"/>
  <c r="K21" i="1"/>
  <c r="K5" i="1"/>
  <c r="K52" i="1"/>
  <c r="K133" i="1"/>
  <c r="K117" i="1"/>
  <c r="K116" i="1"/>
  <c r="K85" i="1"/>
  <c r="K84" i="1"/>
  <c r="K69" i="1"/>
  <c r="K37" i="1"/>
  <c r="K101" i="1"/>
  <c r="K20" i="1"/>
  <c r="J97" i="1"/>
  <c r="J80" i="1"/>
  <c r="K115" i="1"/>
  <c r="K83" i="1"/>
  <c r="K51" i="1"/>
  <c r="K19" i="1"/>
  <c r="J127" i="1"/>
  <c r="J111" i="1"/>
  <c r="J95" i="1"/>
  <c r="J79" i="1"/>
  <c r="J63" i="1"/>
  <c r="J47" i="1"/>
  <c r="J31" i="1"/>
  <c r="J15" i="1"/>
  <c r="J129" i="1"/>
  <c r="J17" i="1"/>
  <c r="J32" i="1"/>
  <c r="J28" i="1"/>
  <c r="J107" i="1"/>
  <c r="J27" i="1"/>
  <c r="J74" i="1"/>
  <c r="J121" i="1"/>
  <c r="J89" i="1"/>
  <c r="J57" i="1"/>
  <c r="J9" i="1"/>
  <c r="K132" i="1"/>
  <c r="K100" i="1"/>
  <c r="K68" i="1"/>
  <c r="K36" i="1"/>
  <c r="K4" i="1"/>
  <c r="J113" i="1"/>
  <c r="J112" i="1"/>
  <c r="J16" i="1"/>
  <c r="J124" i="1"/>
  <c r="J44" i="1"/>
  <c r="J75" i="1"/>
  <c r="J138" i="1"/>
  <c r="J58" i="1"/>
  <c r="J137" i="1"/>
  <c r="J105" i="1"/>
  <c r="J73" i="1"/>
  <c r="J41" i="1"/>
  <c r="J25" i="1"/>
  <c r="J136" i="1"/>
  <c r="J120" i="1"/>
  <c r="J104" i="1"/>
  <c r="J88" i="1"/>
  <c r="J72" i="1"/>
  <c r="J56" i="1"/>
  <c r="J40" i="1"/>
  <c r="J24" i="1"/>
  <c r="J8" i="1"/>
  <c r="K131" i="1"/>
  <c r="K99" i="1"/>
  <c r="K67" i="1"/>
  <c r="K35" i="1"/>
  <c r="K3" i="1"/>
  <c r="J65" i="1"/>
  <c r="J64" i="1"/>
  <c r="K80" i="1"/>
  <c r="J108" i="1"/>
  <c r="J123" i="1"/>
  <c r="J11" i="1"/>
  <c r="J122" i="1"/>
  <c r="J26" i="1"/>
  <c r="K129" i="1"/>
  <c r="K97" i="1"/>
  <c r="K65" i="1"/>
  <c r="J49" i="1"/>
  <c r="J96" i="1"/>
  <c r="K112" i="1"/>
  <c r="J76" i="1"/>
  <c r="J139" i="1"/>
  <c r="J43" i="1"/>
  <c r="J90" i="1"/>
  <c r="J10" i="1"/>
  <c r="K96" i="1"/>
  <c r="K64" i="1"/>
  <c r="K32" i="1"/>
  <c r="J81" i="1"/>
  <c r="J48" i="1"/>
  <c r="K48" i="1"/>
  <c r="J92" i="1"/>
  <c r="J12" i="1"/>
  <c r="J59" i="1"/>
  <c r="J106" i="1"/>
  <c r="K122" i="1"/>
  <c r="K90" i="1"/>
  <c r="K58" i="1"/>
  <c r="K26" i="1"/>
  <c r="J33" i="1"/>
  <c r="J128" i="1"/>
  <c r="K16" i="1"/>
  <c r="J140" i="1"/>
  <c r="J60" i="1"/>
  <c r="J91" i="1"/>
  <c r="J42" i="1"/>
  <c r="K121" i="1"/>
  <c r="K89" i="1"/>
  <c r="K57" i="1"/>
  <c r="K25" i="1"/>
  <c r="K135" i="1"/>
  <c r="K119" i="1"/>
  <c r="K103" i="1"/>
  <c r="K87" i="1"/>
  <c r="K71" i="1"/>
  <c r="K55" i="1"/>
  <c r="K39" i="1"/>
  <c r="K23" i="1"/>
  <c r="K7" i="1"/>
  <c r="K134" i="1"/>
  <c r="K118" i="1"/>
  <c r="K102" i="1"/>
  <c r="K86" i="1"/>
  <c r="K70" i="1"/>
  <c r="K54" i="1"/>
  <c r="K38" i="1"/>
  <c r="K22" i="1"/>
  <c r="K6" i="1"/>
  <c r="K130" i="1"/>
  <c r="K114" i="1"/>
  <c r="K98" i="1"/>
  <c r="K82" i="1"/>
  <c r="K66" i="1"/>
  <c r="K50" i="1"/>
  <c r="K34" i="1"/>
  <c r="K18" i="1"/>
  <c r="K127" i="1"/>
  <c r="K111" i="1"/>
  <c r="K95" i="1"/>
  <c r="K79" i="1"/>
  <c r="K63" i="1"/>
  <c r="K47" i="1"/>
  <c r="K31" i="1"/>
  <c r="K15" i="1"/>
  <c r="K2" i="1"/>
  <c r="K126" i="1"/>
  <c r="K110" i="1"/>
  <c r="K94" i="1"/>
  <c r="K78" i="1"/>
  <c r="K62" i="1"/>
  <c r="K46" i="1"/>
  <c r="K30" i="1"/>
  <c r="K14" i="1"/>
  <c r="K141" i="1"/>
  <c r="K125" i="1"/>
  <c r="K109" i="1"/>
  <c r="K93" i="1"/>
  <c r="K77" i="1"/>
  <c r="K61" i="1"/>
  <c r="K45" i="1"/>
  <c r="K29" i="1"/>
  <c r="K13" i="1"/>
  <c r="K140" i="1"/>
  <c r="K124" i="1"/>
  <c r="K108" i="1"/>
  <c r="K92" i="1"/>
  <c r="K76" i="1"/>
  <c r="K60" i="1"/>
  <c r="K44" i="1"/>
  <c r="K28" i="1"/>
  <c r="K12" i="1"/>
  <c r="K139" i="1"/>
  <c r="K123" i="1"/>
  <c r="K107" i="1"/>
  <c r="K91" i="1"/>
  <c r="K75" i="1"/>
  <c r="K59" i="1"/>
  <c r="K43" i="1"/>
  <c r="K27" i="1"/>
  <c r="K11" i="1"/>
  <c r="V26" i="2"/>
  <c r="H7" i="2"/>
  <c r="H7" i="1" s="1"/>
  <c r="H13" i="2"/>
  <c r="H13" i="1" s="1"/>
  <c r="H34" i="2"/>
  <c r="H34" i="1" s="1"/>
  <c r="H46" i="2"/>
  <c r="H46" i="1" s="1"/>
  <c r="H47" i="2"/>
  <c r="H47" i="1" s="1"/>
  <c r="H51" i="2"/>
  <c r="H51" i="1" s="1"/>
  <c r="H55" i="2"/>
  <c r="H55" i="1" s="1"/>
  <c r="H57" i="2"/>
  <c r="H57" i="1" s="1"/>
  <c r="H58" i="2"/>
  <c r="H58" i="1" s="1"/>
  <c r="H65" i="2"/>
  <c r="H65" i="1" s="1"/>
  <c r="H67" i="2"/>
  <c r="H67" i="1" s="1"/>
  <c r="H69" i="2"/>
  <c r="H69" i="1" s="1"/>
  <c r="H70" i="2"/>
  <c r="H70" i="1" s="1"/>
  <c r="H71" i="2"/>
  <c r="H71" i="1" s="1"/>
  <c r="H72" i="2"/>
  <c r="H72" i="1" s="1"/>
  <c r="H76" i="2"/>
  <c r="H76" i="1" s="1"/>
  <c r="H80" i="2"/>
  <c r="H80" i="1" s="1"/>
  <c r="H83" i="2"/>
  <c r="H83" i="1" s="1"/>
  <c r="H85" i="2"/>
  <c r="H85" i="1" s="1"/>
  <c r="H86" i="2"/>
  <c r="H86" i="1" s="1"/>
  <c r="H87" i="2"/>
  <c r="H87" i="1" s="1"/>
  <c r="H96" i="2"/>
  <c r="H96" i="1" s="1"/>
  <c r="H98" i="2"/>
  <c r="H98" i="1" s="1"/>
  <c r="H99" i="2"/>
  <c r="H99" i="1" s="1"/>
  <c r="H101" i="2"/>
  <c r="H101" i="1" s="1"/>
  <c r="H105" i="2"/>
  <c r="H105" i="1" s="1"/>
  <c r="H106" i="2"/>
  <c r="H106" i="1" s="1"/>
  <c r="H108" i="2"/>
  <c r="H108" i="1" s="1"/>
  <c r="H109" i="2"/>
  <c r="H109" i="1" s="1"/>
  <c r="H110" i="2"/>
  <c r="H110" i="1" s="1"/>
  <c r="H113" i="2"/>
  <c r="H113" i="1" s="1"/>
  <c r="H116" i="2"/>
  <c r="H116" i="1" s="1"/>
  <c r="H120" i="2"/>
  <c r="H120" i="1" s="1"/>
  <c r="H122" i="2"/>
  <c r="H122" i="1" s="1"/>
  <c r="H123" i="2"/>
  <c r="H123" i="1" s="1"/>
  <c r="H124" i="2"/>
  <c r="H124" i="1" s="1"/>
  <c r="H126" i="2"/>
  <c r="H126" i="1" s="1"/>
  <c r="H127" i="2"/>
  <c r="H127" i="1" s="1"/>
  <c r="H128" i="2"/>
  <c r="H128" i="1" s="1"/>
  <c r="H130" i="2"/>
  <c r="H130" i="1" s="1"/>
  <c r="H131" i="2"/>
  <c r="H131" i="1" s="1"/>
  <c r="H132" i="2"/>
  <c r="H132" i="1" s="1"/>
  <c r="H133" i="2"/>
  <c r="H133" i="1" s="1"/>
  <c r="H134" i="2"/>
  <c r="H134" i="1" s="1"/>
  <c r="H137" i="2"/>
  <c r="H137" i="1" s="1"/>
  <c r="H138" i="2"/>
  <c r="H138" i="1" s="1"/>
  <c r="H140" i="2"/>
  <c r="H140" i="1" s="1"/>
  <c r="W23" i="2"/>
  <c r="W21" i="2"/>
  <c r="H39" i="2"/>
  <c r="H39" i="1" s="1"/>
  <c r="H48" i="2"/>
  <c r="H48" i="1" s="1"/>
  <c r="H104" i="2"/>
  <c r="H104" i="1" s="1"/>
  <c r="H92" i="2"/>
  <c r="H92" i="1" s="1"/>
  <c r="H121" i="2"/>
  <c r="H121" i="1" s="1"/>
  <c r="H125" i="2"/>
  <c r="H125" i="1" s="1"/>
  <c r="H129" i="2"/>
  <c r="H129" i="1" s="1"/>
  <c r="H21" i="2"/>
  <c r="H21" i="1" s="1"/>
  <c r="H30" i="2"/>
  <c r="H30" i="1" s="1"/>
  <c r="H38" i="2"/>
  <c r="H38" i="1" s="1"/>
  <c r="H40" i="2"/>
  <c r="H40" i="1" s="1"/>
  <c r="H52" i="2"/>
  <c r="H52" i="1" s="1"/>
  <c r="H53" i="2"/>
  <c r="H53" i="1" s="1"/>
  <c r="H54" i="2"/>
  <c r="H54" i="1" s="1"/>
  <c r="H79" i="2"/>
  <c r="H79" i="1" s="1"/>
  <c r="H81" i="2"/>
  <c r="H81" i="1" s="1"/>
  <c r="H94" i="2"/>
  <c r="H94" i="1" s="1"/>
  <c r="H102" i="2"/>
  <c r="H102" i="1" s="1"/>
  <c r="H107" i="2"/>
  <c r="H107" i="1" s="1"/>
  <c r="H112" i="2"/>
  <c r="H112" i="1" s="1"/>
  <c r="H114" i="2"/>
  <c r="H114" i="1" s="1"/>
  <c r="H119" i="2"/>
  <c r="H119" i="1" s="1"/>
  <c r="H9" i="2"/>
  <c r="H9" i="1" s="1"/>
  <c r="H18" i="2"/>
  <c r="H18" i="1" s="1"/>
  <c r="H20" i="2"/>
  <c r="H20" i="1" s="1"/>
  <c r="H24" i="2"/>
  <c r="H24" i="1" s="1"/>
  <c r="H27" i="2"/>
  <c r="H27" i="1" s="1"/>
  <c r="H32" i="2"/>
  <c r="H32" i="1" s="1"/>
  <c r="H33" i="2"/>
  <c r="H33" i="1" s="1"/>
  <c r="H35" i="2"/>
  <c r="H35" i="1" s="1"/>
  <c r="H41" i="2"/>
  <c r="H41" i="1" s="1"/>
  <c r="H42" i="2"/>
  <c r="H42" i="1" s="1"/>
  <c r="H45" i="2"/>
  <c r="H45" i="1" s="1"/>
  <c r="H49" i="2"/>
  <c r="H49" i="1" s="1"/>
  <c r="H59" i="2"/>
  <c r="H59" i="1" s="1"/>
  <c r="H60" i="2"/>
  <c r="H60" i="1" s="1"/>
  <c r="H62" i="2"/>
  <c r="H62" i="1" s="1"/>
  <c r="H63" i="2"/>
  <c r="H63" i="1" s="1"/>
  <c r="H66" i="2"/>
  <c r="H66" i="1" s="1"/>
  <c r="H68" i="2"/>
  <c r="H68" i="1" s="1"/>
  <c r="H74" i="2"/>
  <c r="H74" i="1" s="1"/>
  <c r="H77" i="2"/>
  <c r="H77" i="1" s="1"/>
  <c r="H78" i="2"/>
  <c r="H78" i="1" s="1"/>
  <c r="H82" i="2"/>
  <c r="H82" i="1" s="1"/>
  <c r="H84" i="2"/>
  <c r="H84" i="1" s="1"/>
  <c r="H88" i="2"/>
  <c r="H88" i="1" s="1"/>
  <c r="H90" i="2"/>
  <c r="H90" i="1" s="1"/>
  <c r="H91" i="2"/>
  <c r="H91" i="1" s="1"/>
  <c r="H93" i="2"/>
  <c r="H93" i="1" s="1"/>
  <c r="H95" i="2"/>
  <c r="H95" i="1" s="1"/>
  <c r="H97" i="2"/>
  <c r="H97" i="1" s="1"/>
  <c r="H100" i="2"/>
  <c r="H100" i="1" s="1"/>
  <c r="H103" i="2"/>
  <c r="H103" i="1" s="1"/>
  <c r="H111" i="2"/>
  <c r="H111" i="1" s="1"/>
  <c r="H115" i="2"/>
  <c r="H115" i="1" s="1"/>
  <c r="H117" i="2"/>
  <c r="H117" i="1" s="1"/>
  <c r="H118" i="2"/>
  <c r="H118" i="1" s="1"/>
  <c r="H135" i="2"/>
  <c r="H135" i="1" s="1"/>
  <c r="H136" i="2"/>
  <c r="H136" i="1" s="1"/>
  <c r="H139" i="2"/>
  <c r="H139" i="1" s="1"/>
  <c r="H141" i="2"/>
  <c r="H141" i="1" s="1"/>
  <c r="W22" i="2"/>
  <c r="H2" i="2"/>
  <c r="H2" i="1" s="1"/>
  <c r="H3" i="2"/>
  <c r="H3" i="1" s="1"/>
  <c r="H4" i="2"/>
  <c r="H4" i="1" s="1"/>
  <c r="H5" i="2"/>
  <c r="H5" i="1" s="1"/>
  <c r="H6" i="2"/>
  <c r="H6" i="1" s="1"/>
  <c r="H8" i="2"/>
  <c r="H8" i="1" s="1"/>
  <c r="H10" i="2"/>
  <c r="H10" i="1" s="1"/>
  <c r="H11" i="2"/>
  <c r="H11" i="1" s="1"/>
  <c r="H12" i="2"/>
  <c r="H12" i="1" s="1"/>
  <c r="H14" i="2"/>
  <c r="H14" i="1" s="1"/>
  <c r="H15" i="2"/>
  <c r="H15" i="1" s="1"/>
  <c r="H16" i="2"/>
  <c r="H16" i="1" s="1"/>
  <c r="H17" i="2"/>
  <c r="H17" i="1" s="1"/>
  <c r="H19" i="2"/>
  <c r="H19" i="1" s="1"/>
  <c r="H22" i="2"/>
  <c r="H22" i="1" s="1"/>
  <c r="H23" i="2"/>
  <c r="H23" i="1" s="1"/>
  <c r="H25" i="2"/>
  <c r="H25" i="1" s="1"/>
  <c r="H26" i="2"/>
  <c r="H26" i="1" s="1"/>
  <c r="H28" i="2"/>
  <c r="H28" i="1" s="1"/>
  <c r="H29" i="2"/>
  <c r="H29" i="1" s="1"/>
  <c r="H31" i="2"/>
  <c r="H31" i="1" s="1"/>
  <c r="H36" i="2"/>
  <c r="H36" i="1" s="1"/>
  <c r="H37" i="2"/>
  <c r="H37" i="1" s="1"/>
  <c r="H43" i="2"/>
  <c r="H43" i="1" s="1"/>
  <c r="H44" i="2"/>
  <c r="H44" i="1" s="1"/>
  <c r="H50" i="2"/>
  <c r="H50" i="1" s="1"/>
  <c r="H56" i="2"/>
  <c r="H56" i="1" s="1"/>
  <c r="H61" i="2"/>
  <c r="H61" i="1" s="1"/>
  <c r="H64" i="2"/>
  <c r="H64" i="1" s="1"/>
  <c r="H73" i="2"/>
  <c r="H73" i="1" s="1"/>
  <c r="H75" i="2"/>
  <c r="H75" i="1" s="1"/>
  <c r="H89" i="2"/>
  <c r="H89" i="1" s="1"/>
  <c r="W17" i="2"/>
  <c r="W16" i="2"/>
  <c r="W15" i="2"/>
  <c r="W14" i="2"/>
  <c r="W1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7B8808A-208C-442E-93C9-65131DEE19D7}"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82B5C8BD-3815-47E2-863D-2B228B3E3C6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57DAE1C1-A53D-45A9-AFDE-90FDF9252871}" name="WorksheetConnection_Employee_Details Import.xlsx!Sheet1" type="102" refreshedVersion="8" minRefreshableVersion="5">
    <extLst>
      <ext xmlns:x15="http://schemas.microsoft.com/office/spreadsheetml/2010/11/main" uri="{DE250136-89BD-433C-8126-D09CA5730AF9}">
        <x15:connection id="Sheet1" autoDelete="1">
          <x15:rangePr sourceName="_xlcn.WorksheetConnection_Employee_DetailsImport.xlsxSheet11"/>
        </x15:connection>
      </ext>
    </extLst>
  </connection>
</connections>
</file>

<file path=xl/sharedStrings.xml><?xml version="1.0" encoding="utf-8"?>
<sst xmlns="http://schemas.openxmlformats.org/spreadsheetml/2006/main" count="1572" uniqueCount="350">
  <si>
    <t>Employee ID</t>
  </si>
  <si>
    <t>Name</t>
  </si>
  <si>
    <t>Department</t>
  </si>
  <si>
    <t>Country</t>
  </si>
  <si>
    <t>Salary</t>
  </si>
  <si>
    <t>Date of Joining</t>
  </si>
  <si>
    <t>Performance Rating</t>
  </si>
  <si>
    <t>Gender</t>
  </si>
  <si>
    <t>Email</t>
  </si>
  <si>
    <t>Finance</t>
  </si>
  <si>
    <t>Unknown</t>
  </si>
  <si>
    <t>EMP1001</t>
  </si>
  <si>
    <t>Eve Adams</t>
  </si>
  <si>
    <t>HR</t>
  </si>
  <si>
    <t>Germany</t>
  </si>
  <si>
    <t>Other</t>
  </si>
  <si>
    <t>user106@example.com</t>
  </si>
  <si>
    <t>EMP1002</t>
  </si>
  <si>
    <t>Alice Brown</t>
  </si>
  <si>
    <t>user176@example.com</t>
  </si>
  <si>
    <t>EMP1003</t>
  </si>
  <si>
    <t>John Doe</t>
  </si>
  <si>
    <t>Sales</t>
  </si>
  <si>
    <t>USA</t>
  </si>
  <si>
    <t>Male</t>
  </si>
  <si>
    <t>user168@example.com</t>
  </si>
  <si>
    <t>EMP1004</t>
  </si>
  <si>
    <t>Jane Smith</t>
  </si>
  <si>
    <t>user49@example.com</t>
  </si>
  <si>
    <t>EMP1005</t>
  </si>
  <si>
    <t>IT</t>
  </si>
  <si>
    <t>India</t>
  </si>
  <si>
    <t>Female</t>
  </si>
  <si>
    <t>user24@example.com</t>
  </si>
  <si>
    <t>EMP1006</t>
  </si>
  <si>
    <t>Sam Wilson</t>
  </si>
  <si>
    <t>EMP1007</t>
  </si>
  <si>
    <t>Chris Lee</t>
  </si>
  <si>
    <t>Marketing</t>
  </si>
  <si>
    <t>user26@example.com</t>
  </si>
  <si>
    <t>EMP1008</t>
  </si>
  <si>
    <t>user25@example.com</t>
  </si>
  <si>
    <t>EMP1009</t>
  </si>
  <si>
    <t>UK</t>
  </si>
  <si>
    <t>user153@example.com</t>
  </si>
  <si>
    <t>EMP1010</t>
  </si>
  <si>
    <t>user18@example.com</t>
  </si>
  <si>
    <t>EMP1011</t>
  </si>
  <si>
    <t>user1@example.com</t>
  </si>
  <si>
    <t>EMP1012</t>
  </si>
  <si>
    <t>Bob Johnson</t>
  </si>
  <si>
    <t>EMP1013</t>
  </si>
  <si>
    <t>user180@example.com</t>
  </si>
  <si>
    <t>EMP1014</t>
  </si>
  <si>
    <t>user184@example.com</t>
  </si>
  <si>
    <t>user3@example.com</t>
  </si>
  <si>
    <t>EMP1016</t>
  </si>
  <si>
    <t>user64@example.com</t>
  </si>
  <si>
    <t>EMP1017</t>
  </si>
  <si>
    <t>Australia</t>
  </si>
  <si>
    <t>user38@example.com</t>
  </si>
  <si>
    <t>EMP1018</t>
  </si>
  <si>
    <t>user96@example.com</t>
  </si>
  <si>
    <t>EMP1019</t>
  </si>
  <si>
    <t>user151@example.com</t>
  </si>
  <si>
    <t>EMP1020</t>
  </si>
  <si>
    <t>user200@example.com</t>
  </si>
  <si>
    <t>EMP1021</t>
  </si>
  <si>
    <t>user77@example.com</t>
  </si>
  <si>
    <t>EMP1022</t>
  </si>
  <si>
    <t>user128@example.com</t>
  </si>
  <si>
    <t>EMP1023</t>
  </si>
  <si>
    <t>user149@example.com</t>
  </si>
  <si>
    <t>EMP1024</t>
  </si>
  <si>
    <t>user122@example.com</t>
  </si>
  <si>
    <t>EMP1025</t>
  </si>
  <si>
    <t>user41@example.com</t>
  </si>
  <si>
    <t>EMP1026</t>
  </si>
  <si>
    <t>user68@example.com</t>
  </si>
  <si>
    <t>EMP1027</t>
  </si>
  <si>
    <t>user103@example.com</t>
  </si>
  <si>
    <t>EMP1028</t>
  </si>
  <si>
    <t>user135@example.com</t>
  </si>
  <si>
    <t>EMP1029</t>
  </si>
  <si>
    <t>user83@example.com</t>
  </si>
  <si>
    <t>EMP1031</t>
  </si>
  <si>
    <t>user143@example.com</t>
  </si>
  <si>
    <t>EMP1032</t>
  </si>
  <si>
    <t>user190@example.com</t>
  </si>
  <si>
    <t>EMP1033</t>
  </si>
  <si>
    <t>user136@example.com</t>
  </si>
  <si>
    <t>EMP1034</t>
  </si>
  <si>
    <t>user198@example.com</t>
  </si>
  <si>
    <t>EMP1035</t>
  </si>
  <si>
    <t>EMP1036</t>
  </si>
  <si>
    <t>user31@example.com</t>
  </si>
  <si>
    <t>EMP1037</t>
  </si>
  <si>
    <t>user98@example.com</t>
  </si>
  <si>
    <t>EMP1038</t>
  </si>
  <si>
    <t>user154@example.com</t>
  </si>
  <si>
    <t>EMP1039</t>
  </si>
  <si>
    <t>user42@example.com</t>
  </si>
  <si>
    <t>EMP1040</t>
  </si>
  <si>
    <t>user89@example.com</t>
  </si>
  <si>
    <t>EMP1041</t>
  </si>
  <si>
    <t>user47@example.com</t>
  </si>
  <si>
    <t>EMP1042</t>
  </si>
  <si>
    <t>user175@example.com</t>
  </si>
  <si>
    <t>EMP1043</t>
  </si>
  <si>
    <t>user57@example.com</t>
  </si>
  <si>
    <t>EMP1044</t>
  </si>
  <si>
    <t>user20@example.com</t>
  </si>
  <si>
    <t>EMP1046</t>
  </si>
  <si>
    <t>user199@example.com</t>
  </si>
  <si>
    <t>EMP1047</t>
  </si>
  <si>
    <t>user43@example.com</t>
  </si>
  <si>
    <t>EMP1048</t>
  </si>
  <si>
    <t>EMP1049</t>
  </si>
  <si>
    <t>EMP1050</t>
  </si>
  <si>
    <t>user95@example.com</t>
  </si>
  <si>
    <t>EMP1051</t>
  </si>
  <si>
    <t>user59@example.com</t>
  </si>
  <si>
    <t>EMP1052</t>
  </si>
  <si>
    <t>user152@example.com</t>
  </si>
  <si>
    <t>EMP1053</t>
  </si>
  <si>
    <t>EMP1054</t>
  </si>
  <si>
    <t>user92@example.com</t>
  </si>
  <si>
    <t>EMP1055</t>
  </si>
  <si>
    <t>user50@example.com</t>
  </si>
  <si>
    <t>EMP1056</t>
  </si>
  <si>
    <t>user63@example.com</t>
  </si>
  <si>
    <t>EMP1057</t>
  </si>
  <si>
    <t>EMP1058</t>
  </si>
  <si>
    <t>user150@example.com</t>
  </si>
  <si>
    <t>EMP1059</t>
  </si>
  <si>
    <t>user112@example.com</t>
  </si>
  <si>
    <t>EMP1061</t>
  </si>
  <si>
    <t>EMP1062</t>
  </si>
  <si>
    <t>user71@example.com</t>
  </si>
  <si>
    <t>EMP1063</t>
  </si>
  <si>
    <t>user97@example.com</t>
  </si>
  <si>
    <t>EMP1064</t>
  </si>
  <si>
    <t>user141@example.com</t>
  </si>
  <si>
    <t>EMP1065</t>
  </si>
  <si>
    <t>user125@example.com</t>
  </si>
  <si>
    <t>EMP1066</t>
  </si>
  <si>
    <t>user90@example.com</t>
  </si>
  <si>
    <t>EMP1067</t>
  </si>
  <si>
    <t>user192@example.com</t>
  </si>
  <si>
    <t>EMP1068</t>
  </si>
  <si>
    <t>EMP1069</t>
  </si>
  <si>
    <t>user65@example.com</t>
  </si>
  <si>
    <t>EMP1070</t>
  </si>
  <si>
    <t>EMP1071</t>
  </si>
  <si>
    <t>user142@example.com</t>
  </si>
  <si>
    <t>EMP1072</t>
  </si>
  <si>
    <t>EMP1073</t>
  </si>
  <si>
    <t>EMP1074</t>
  </si>
  <si>
    <t>EMP1076</t>
  </si>
  <si>
    <t>EMP1077</t>
  </si>
  <si>
    <t>user22@example.com</t>
  </si>
  <si>
    <t>EMP1078</t>
  </si>
  <si>
    <t>user46@example.com</t>
  </si>
  <si>
    <t>EMP1079</t>
  </si>
  <si>
    <t>user55@example.com</t>
  </si>
  <si>
    <t>EMP1080</t>
  </si>
  <si>
    <t>EMP1081</t>
  </si>
  <si>
    <t>user156@example.com</t>
  </si>
  <si>
    <t>EMP1082</t>
  </si>
  <si>
    <t>user104@example.com</t>
  </si>
  <si>
    <t>EMP1083</t>
  </si>
  <si>
    <t>user145@example.com</t>
  </si>
  <si>
    <t>EMP1084</t>
  </si>
  <si>
    <t>EMP1085</t>
  </si>
  <si>
    <t>user197@example.com</t>
  </si>
  <si>
    <t>EMP1086</t>
  </si>
  <si>
    <t>user177@example.com</t>
  </si>
  <si>
    <t>EMP1087</t>
  </si>
  <si>
    <t>EMP1088</t>
  </si>
  <si>
    <t>user48@example.com</t>
  </si>
  <si>
    <t>EMP1089</t>
  </si>
  <si>
    <t>EMP1091</t>
  </si>
  <si>
    <t>EMP1092</t>
  </si>
  <si>
    <t>EMP1093</t>
  </si>
  <si>
    <t>user102@example.com</t>
  </si>
  <si>
    <t>EMP1094</t>
  </si>
  <si>
    <t>user148@example.com</t>
  </si>
  <si>
    <t>EMP1095</t>
  </si>
  <si>
    <t>user155@example.com</t>
  </si>
  <si>
    <t>EMP1096</t>
  </si>
  <si>
    <t>user191@example.com</t>
  </si>
  <si>
    <t>EMP1097</t>
  </si>
  <si>
    <t>user113@example.com</t>
  </si>
  <si>
    <t>EMP1098</t>
  </si>
  <si>
    <t>user62@example.com</t>
  </si>
  <si>
    <t>EMP1099</t>
  </si>
  <si>
    <t>user76@example.com</t>
  </si>
  <si>
    <t>EMP1100</t>
  </si>
  <si>
    <t>user40@example.com</t>
  </si>
  <si>
    <t>EMP1101</t>
  </si>
  <si>
    <t>EMP1102</t>
  </si>
  <si>
    <t>user54@example.com</t>
  </si>
  <si>
    <t>EMP1103</t>
  </si>
  <si>
    <t>EMP1104</t>
  </si>
  <si>
    <t>EMP1106</t>
  </si>
  <si>
    <t>user189@example.com</t>
  </si>
  <si>
    <t>EMP1107</t>
  </si>
  <si>
    <t>EMP1108</t>
  </si>
  <si>
    <t>user93@example.com</t>
  </si>
  <si>
    <t>EMP1109</t>
  </si>
  <si>
    <t>user174@example.com</t>
  </si>
  <si>
    <t>EMP1110</t>
  </si>
  <si>
    <t>user44@example.com</t>
  </si>
  <si>
    <t>EMP1111</t>
  </si>
  <si>
    <t>EMP1112</t>
  </si>
  <si>
    <t>EMP1113</t>
  </si>
  <si>
    <t>user82@example.com</t>
  </si>
  <si>
    <t>EMP1114</t>
  </si>
  <si>
    <t>EMP1115</t>
  </si>
  <si>
    <t>EMP1116</t>
  </si>
  <si>
    <t>EMP1117</t>
  </si>
  <si>
    <t>user137@example.com</t>
  </si>
  <si>
    <t>EMP1118</t>
  </si>
  <si>
    <t>user23@example.com</t>
  </si>
  <si>
    <t>EMP1119</t>
  </si>
  <si>
    <t>EMP1121</t>
  </si>
  <si>
    <t>user132@example.com</t>
  </si>
  <si>
    <t>EMP1122</t>
  </si>
  <si>
    <t>user171@example.com</t>
  </si>
  <si>
    <t>EMP1123</t>
  </si>
  <si>
    <t>EMP1124</t>
  </si>
  <si>
    <t>user75@example.com</t>
  </si>
  <si>
    <t>EMP1125</t>
  </si>
  <si>
    <t>user52@example.com</t>
  </si>
  <si>
    <t>EMP1126</t>
  </si>
  <si>
    <t>user100@example.com</t>
  </si>
  <si>
    <t>EMP1127</t>
  </si>
  <si>
    <t>EMP1128</t>
  </si>
  <si>
    <t>user167@example.com</t>
  </si>
  <si>
    <t>EMP1129</t>
  </si>
  <si>
    <t>EMP1130</t>
  </si>
  <si>
    <t>EMP1131</t>
  </si>
  <si>
    <t>EMP1132</t>
  </si>
  <si>
    <t>user188@example.com</t>
  </si>
  <si>
    <t>EMP1133</t>
  </si>
  <si>
    <t>EMP1134</t>
  </si>
  <si>
    <t>EMP1136</t>
  </si>
  <si>
    <t>EMP1137</t>
  </si>
  <si>
    <t>user165@example.com</t>
  </si>
  <si>
    <t>EMP1138</t>
  </si>
  <si>
    <t>EMP1139</t>
  </si>
  <si>
    <t>EMP1140</t>
  </si>
  <si>
    <t>EMP1141</t>
  </si>
  <si>
    <t>EMP1142</t>
  </si>
  <si>
    <t>EMP1143</t>
  </si>
  <si>
    <t>user114@example.com</t>
  </si>
  <si>
    <t>EMP1144</t>
  </si>
  <si>
    <t>user53@example.com</t>
  </si>
  <si>
    <t>EMP1145</t>
  </si>
  <si>
    <t>EMP1146</t>
  </si>
  <si>
    <t>EMP1147</t>
  </si>
  <si>
    <t>user163@example.com</t>
  </si>
  <si>
    <t>EMP1148</t>
  </si>
  <si>
    <t>EMP1149</t>
  </si>
  <si>
    <t>user30@example.com</t>
  </si>
  <si>
    <t>Summary</t>
  </si>
  <si>
    <t>Sum</t>
  </si>
  <si>
    <t>Average</t>
  </si>
  <si>
    <t>Min</t>
  </si>
  <si>
    <t>Count</t>
  </si>
  <si>
    <t>CountA</t>
  </si>
  <si>
    <t>Salary Status</t>
  </si>
  <si>
    <t>Total HR Salary</t>
  </si>
  <si>
    <t>Germany Count</t>
  </si>
  <si>
    <t>Average HR Salary</t>
  </si>
  <si>
    <t>Average of Salary</t>
  </si>
  <si>
    <t>Not Specified</t>
  </si>
  <si>
    <t>Eve</t>
  </si>
  <si>
    <t>Adams</t>
  </si>
  <si>
    <t>Alice</t>
  </si>
  <si>
    <t>Brown</t>
  </si>
  <si>
    <t>John</t>
  </si>
  <si>
    <t>Doe</t>
  </si>
  <si>
    <t>Jane</t>
  </si>
  <si>
    <t>Smith</t>
  </si>
  <si>
    <t>Sam</t>
  </si>
  <si>
    <t>Wilson</t>
  </si>
  <si>
    <t>Chris</t>
  </si>
  <si>
    <t>Lee</t>
  </si>
  <si>
    <t>Bob</t>
  </si>
  <si>
    <t>Johnson</t>
  </si>
  <si>
    <t>Last Name</t>
  </si>
  <si>
    <t>First Name</t>
  </si>
  <si>
    <t>Mean</t>
  </si>
  <si>
    <t>Standard Error</t>
  </si>
  <si>
    <t>Median</t>
  </si>
  <si>
    <t>Mode</t>
  </si>
  <si>
    <t>Standard Deviation</t>
  </si>
  <si>
    <t>Sample Variance</t>
  </si>
  <si>
    <t>Kurtosis</t>
  </si>
  <si>
    <t>Skewness</t>
  </si>
  <si>
    <t>Range</t>
  </si>
  <si>
    <t>Minimum</t>
  </si>
  <si>
    <t>Maximum</t>
  </si>
  <si>
    <t>Date functions</t>
  </si>
  <si>
    <t>Today()</t>
  </si>
  <si>
    <t>Now()</t>
  </si>
  <si>
    <t>Month</t>
  </si>
  <si>
    <t>Year</t>
  </si>
  <si>
    <t>Weekday</t>
  </si>
  <si>
    <t>No. of Days with Employer</t>
  </si>
  <si>
    <t>Department-wise Employee Count</t>
  </si>
  <si>
    <t>Row Labels</t>
  </si>
  <si>
    <t>Grand Total</t>
  </si>
  <si>
    <t>Column Labels</t>
  </si>
  <si>
    <t>Count of Employee ID</t>
  </si>
  <si>
    <t>Country-wise Average Salary Analysis</t>
  </si>
  <si>
    <t>Good Salary</t>
  </si>
  <si>
    <t>High Salary</t>
  </si>
  <si>
    <t>Low Salary</t>
  </si>
  <si>
    <t>Salary Status Distribution</t>
  </si>
  <si>
    <t>Gender Diversity by Department</t>
  </si>
  <si>
    <t>Department-wise Performance vs Avg Salary</t>
  </si>
  <si>
    <t>Average of Performance Rating</t>
  </si>
  <si>
    <t>April</t>
  </si>
  <si>
    <t>May</t>
  </si>
  <si>
    <t>June</t>
  </si>
  <si>
    <t>July</t>
  </si>
  <si>
    <t>August</t>
  </si>
  <si>
    <t>September</t>
  </si>
  <si>
    <t>October</t>
  </si>
  <si>
    <t>November</t>
  </si>
  <si>
    <t>December</t>
  </si>
  <si>
    <t>March</t>
  </si>
  <si>
    <t>February</t>
  </si>
  <si>
    <t>January</t>
  </si>
  <si>
    <t>Month of Joining</t>
  </si>
  <si>
    <t>Sparkline</t>
  </si>
  <si>
    <t>Monthly Hiring Trend by Department</t>
  </si>
  <si>
    <t>Department-wise Average Employee Tenure</t>
  </si>
  <si>
    <t>Average of No. of Days with Employer</t>
  </si>
  <si>
    <t>EMPLOYEE DETAILS DASHBOARD</t>
  </si>
  <si>
    <t>Summary for KPI's</t>
  </si>
  <si>
    <t>Total Employees</t>
  </si>
  <si>
    <t>Total Salary</t>
  </si>
  <si>
    <t>Highest Salary</t>
  </si>
  <si>
    <t>Average Performance Rating</t>
  </si>
  <si>
    <t>Longest Serving Employee</t>
  </si>
  <si>
    <t>Employee Count in India</t>
  </si>
  <si>
    <t>Average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</si>
</sst>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9" x14ac:knownFonts="1">
    <font>
      <sz val="11"/>
      <color theme="1"/>
      <name val="Aptos Narrow"/>
      <family val="2"/>
      <scheme val="minor"/>
    </font>
    <font>
      <b/>
      <sz val="11"/>
      <color theme="0"/>
      <name val="Aptos Narrow"/>
      <family val="2"/>
      <scheme val="minor"/>
    </font>
    <font>
      <b/>
      <sz val="11"/>
      <color theme="1"/>
      <name val="Aptos Narrow"/>
      <family val="2"/>
      <scheme val="minor"/>
    </font>
    <font>
      <b/>
      <sz val="11"/>
      <color theme="1" tint="4.9989318521683403E-2"/>
      <name val="Aptos Narrow"/>
      <family val="2"/>
      <scheme val="minor"/>
    </font>
    <font>
      <sz val="11"/>
      <color rgb="FF000000"/>
      <name val="Aptos Narrow"/>
      <family val="2"/>
      <scheme val="minor"/>
    </font>
    <font>
      <i/>
      <sz val="11"/>
      <color theme="1"/>
      <name val="Aptos Narrow"/>
      <family val="2"/>
      <scheme val="minor"/>
    </font>
    <font>
      <sz val="8"/>
      <name val="Aptos Narrow"/>
      <family val="2"/>
      <scheme val="minor"/>
    </font>
    <font>
      <b/>
      <sz val="12"/>
      <color rgb="FF000000"/>
      <name val="Aptos"/>
      <family val="2"/>
    </font>
    <font>
      <b/>
      <sz val="26"/>
      <color theme="1"/>
      <name val="Aptos Narrow"/>
      <family val="2"/>
      <scheme val="minor"/>
    </font>
  </fonts>
  <fills count="6">
    <fill>
      <patternFill patternType="none"/>
    </fill>
    <fill>
      <patternFill patternType="gray125"/>
    </fill>
    <fill>
      <patternFill patternType="solid">
        <fgColor theme="9"/>
        <bgColor theme="9"/>
      </patternFill>
    </fill>
    <fill>
      <patternFill patternType="solid">
        <fgColor theme="4" tint="0.79998168889431442"/>
        <bgColor theme="4" tint="0.79998168889431442"/>
      </patternFill>
    </fill>
    <fill>
      <patternFill patternType="solid">
        <fgColor theme="5" tint="0.39997558519241921"/>
        <bgColor indexed="64"/>
      </patternFill>
    </fill>
    <fill>
      <patternFill patternType="solid">
        <fgColor theme="0" tint="-4.9989318521683403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0">
    <xf numFmtId="0" fontId="0" fillId="0" borderId="0" xfId="0"/>
    <xf numFmtId="22" fontId="0" fillId="0" borderId="0" xfId="0" applyNumberFormat="1"/>
    <xf numFmtId="0" fontId="0" fillId="0" borderId="5" xfId="0" applyBorder="1"/>
    <xf numFmtId="0" fontId="0" fillId="0" borderId="1" xfId="0" applyBorder="1"/>
    <xf numFmtId="0" fontId="0" fillId="0" borderId="6" xfId="0" applyBorder="1"/>
    <xf numFmtId="0" fontId="0" fillId="0" borderId="7" xfId="0" applyBorder="1"/>
    <xf numFmtId="0" fontId="0" fillId="0" borderId="8" xfId="0" applyBorder="1"/>
    <xf numFmtId="0" fontId="0" fillId="0" borderId="9" xfId="0" applyBorder="1"/>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3" fillId="0" borderId="0" xfId="0" applyFont="1"/>
    <xf numFmtId="14" fontId="2" fillId="0" borderId="3" xfId="0" applyNumberFormat="1" applyFont="1" applyBorder="1" applyAlignment="1">
      <alignment horizontal="center"/>
    </xf>
    <xf numFmtId="14" fontId="0" fillId="0" borderId="1" xfId="0" applyNumberFormat="1" applyBorder="1"/>
    <xf numFmtId="14" fontId="0" fillId="0" borderId="0" xfId="0" applyNumberFormat="1"/>
    <xf numFmtId="14" fontId="0" fillId="0" borderId="8" xfId="0" applyNumberFormat="1" applyBorder="1"/>
    <xf numFmtId="0" fontId="5" fillId="0" borderId="1" xfId="0" applyFont="1" applyBorder="1" applyAlignment="1">
      <alignment horizontal="centerContinuous"/>
    </xf>
    <xf numFmtId="1" fontId="2" fillId="0" borderId="3" xfId="0" applyNumberFormat="1" applyFont="1" applyBorder="1" applyAlignment="1">
      <alignment horizontal="center"/>
    </xf>
    <xf numFmtId="1" fontId="0" fillId="0" borderId="1" xfId="0" applyNumberFormat="1" applyBorder="1"/>
    <xf numFmtId="1" fontId="0" fillId="0" borderId="8" xfId="0" applyNumberFormat="1" applyBorder="1"/>
    <xf numFmtId="0" fontId="1" fillId="2" borderId="1" xfId="0" applyFont="1" applyFill="1" applyBorder="1" applyAlignment="1">
      <alignment horizontal="center"/>
    </xf>
    <xf numFmtId="14" fontId="1" fillId="2" borderId="1" xfId="0" applyNumberFormat="1" applyFont="1" applyFill="1" applyBorder="1" applyAlignment="1">
      <alignment horizontal="center"/>
    </xf>
    <xf numFmtId="1" fontId="1" fillId="2" borderId="1" xfId="0" applyNumberFormat="1" applyFont="1" applyFill="1" applyBorder="1" applyAlignment="1">
      <alignment horizontal="center"/>
    </xf>
    <xf numFmtId="164" fontId="2" fillId="0" borderId="3" xfId="0" applyNumberFormat="1" applyFont="1" applyBorder="1" applyAlignment="1">
      <alignment horizontal="center"/>
    </xf>
    <xf numFmtId="164" fontId="0" fillId="0" borderId="1" xfId="0" applyNumberFormat="1" applyBorder="1"/>
    <xf numFmtId="164" fontId="4" fillId="0" borderId="0" xfId="0" applyNumberFormat="1" applyFont="1"/>
    <xf numFmtId="164" fontId="0" fillId="0" borderId="8" xfId="0" applyNumberFormat="1" applyBorder="1"/>
    <xf numFmtId="164" fontId="0" fillId="0" borderId="0" xfId="0" applyNumberFormat="1"/>
    <xf numFmtId="0" fontId="0" fillId="0" borderId="0" xfId="0" applyNumberFormat="1"/>
    <xf numFmtId="0" fontId="2" fillId="0" borderId="0" xfId="0" applyFont="1"/>
    <xf numFmtId="0" fontId="0" fillId="0" borderId="1" xfId="0" pivotButton="1" applyBorder="1"/>
    <xf numFmtId="0" fontId="0" fillId="0" borderId="1" xfId="0" applyBorder="1" applyAlignment="1">
      <alignment horizontal="left"/>
    </xf>
    <xf numFmtId="0" fontId="0" fillId="0" borderId="1" xfId="0" applyNumberFormat="1" applyBorder="1"/>
    <xf numFmtId="0" fontId="7" fillId="0" borderId="0" xfId="0" applyFont="1" applyAlignment="1">
      <alignment vertical="center"/>
    </xf>
    <xf numFmtId="0" fontId="2" fillId="3" borderId="1" xfId="0" applyFont="1" applyFill="1" applyBorder="1"/>
    <xf numFmtId="4" fontId="0" fillId="0" borderId="1" xfId="0" applyNumberFormat="1" applyBorder="1"/>
    <xf numFmtId="2" fontId="0" fillId="0" borderId="1" xfId="0" applyNumberFormat="1" applyBorder="1"/>
    <xf numFmtId="0" fontId="2" fillId="0" borderId="3" xfId="0" applyNumberFormat="1" applyFont="1" applyBorder="1" applyAlignment="1">
      <alignment horizontal="center"/>
    </xf>
    <xf numFmtId="0" fontId="8" fillId="4" borderId="0" xfId="0" applyFont="1" applyFill="1" applyAlignment="1">
      <alignment horizontal="center" vertical="center"/>
    </xf>
    <xf numFmtId="0" fontId="0" fillId="5" borderId="0" xfId="0" applyFill="1"/>
  </cellXfs>
  <cellStyles count="1">
    <cellStyle name="Normal" xfId="0" builtinId="0"/>
  </cellStyles>
  <dxfs count="63">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0" formatCode="General"/>
      <border diagonalUp="0" diagonalDown="0">
        <left style="thin">
          <color indexed="64"/>
        </left>
        <right style="thin">
          <color indexed="64"/>
        </right>
        <top style="thin">
          <color indexed="64"/>
        </top>
        <bottom style="thin">
          <color indexed="64"/>
        </bottom>
        <vertical/>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dxf>
    <dxf>
      <numFmt numFmtId="164" formatCode="&quot;₹&quot;\ #,##0.00"/>
    </dxf>
    <dxf>
      <numFmt numFmtId="164" formatCode="&quot;₹&quot;\ #,##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 #,##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border diagonalUp="0" diagonalDown="0">
        <left style="thin">
          <color indexed="64"/>
        </left>
        <right style="thin">
          <color indexed="64"/>
        </right>
        <top style="thin">
          <color indexed="64"/>
        </top>
        <bottom style="thin">
          <color indexed="64"/>
        </bottom>
        <vertical/>
        <horizontal/>
      </border>
    </dxf>
    <dxf>
      <numFmt numFmtId="19" formatCode="dd/mm/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strike val="0"/>
        <outline val="0"/>
        <shadow val="0"/>
        <u val="none"/>
        <vertAlign val="baseline"/>
        <sz val="11"/>
        <color theme="1"/>
        <name val="Aptos Narrow"/>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customXml" Target="../customXml/item1.xml"/><Relationship Id="rId5" Type="http://schemas.openxmlformats.org/officeDocument/2006/relationships/pivotCacheDefinition" Target="pivotCache/pivotCacheDefinition1.xml"/><Relationship Id="rId15" Type="http://schemas.microsoft.com/office/2007/relationships/slicerCache" Target="slicerCaches/slicerCache2.xml"/><Relationship Id="rId23" Type="http://schemas.openxmlformats.org/officeDocument/2006/relationships/calcChain" Target="calcChain.xml"/><Relationship Id="rId10" Type="http://schemas.openxmlformats.org/officeDocument/2006/relationships/pivotCacheDefinition" Target="pivotCache/pivotCacheDefinition6.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microsoft.com/office/2007/relationships/slicerCache" Target="slicerCaches/slicerCache1.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[Employee_Details Import.xlsx]Pivot!PivotTable1</c:name>
    <c:fmtId val="2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solidFill>
                  <a:schemeClr val="tx1"/>
                </a:solidFill>
                <a:effectLst/>
              </a:rPr>
              <a:t>Department-wise Employee Count</a:t>
            </a:r>
            <a:r>
              <a:rPr lang="en-IN" sz="1400" b="0" i="0" u="none" strike="noStrike" baseline="0">
                <a:solidFill>
                  <a:schemeClr val="tx1"/>
                </a:solidFill>
                <a:effectLst/>
              </a:rPr>
              <a:t> </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5"/>
            </a:solidFill>
            <a:ln>
              <a:noFill/>
            </a:ln>
            <a:effectLst/>
          </c:spPr>
          <c:invertIfNegative val="0"/>
          <c:cat>
            <c:strRef>
              <c:f>Pivot!$A$4:$A$9</c:f>
              <c:strCache>
                <c:ptCount val="5"/>
                <c:pt idx="0">
                  <c:v>Finance</c:v>
                </c:pt>
                <c:pt idx="1">
                  <c:v>HR</c:v>
                </c:pt>
                <c:pt idx="2">
                  <c:v>IT</c:v>
                </c:pt>
                <c:pt idx="3">
                  <c:v>Marketing</c:v>
                </c:pt>
                <c:pt idx="4">
                  <c:v>Sales</c:v>
                </c:pt>
              </c:strCache>
            </c:strRef>
          </c:cat>
          <c:val>
            <c:numRef>
              <c:f>Pivot!$B$4:$B$9</c:f>
              <c:numCache>
                <c:formatCode>General</c:formatCode>
                <c:ptCount val="5"/>
                <c:pt idx="0">
                  <c:v>21</c:v>
                </c:pt>
                <c:pt idx="1">
                  <c:v>22</c:v>
                </c:pt>
                <c:pt idx="2">
                  <c:v>22</c:v>
                </c:pt>
                <c:pt idx="3">
                  <c:v>50</c:v>
                </c:pt>
                <c:pt idx="4">
                  <c:v>25</c:v>
                </c:pt>
              </c:numCache>
            </c:numRef>
          </c:val>
          <c:extLst>
            <c:ext xmlns:c16="http://schemas.microsoft.com/office/drawing/2014/chart" uri="{C3380CC4-5D6E-409C-BE32-E72D297353CC}">
              <c16:uniqueId val="{00000000-FA6C-44CF-9038-0FA9F416E149}"/>
            </c:ext>
          </c:extLst>
        </c:ser>
        <c:dLbls>
          <c:showLegendKey val="0"/>
          <c:showVal val="0"/>
          <c:showCatName val="0"/>
          <c:showSerName val="0"/>
          <c:showPercent val="0"/>
          <c:showBubbleSize val="0"/>
        </c:dLbls>
        <c:gapWidth val="219"/>
        <c:overlap val="-27"/>
        <c:axId val="909468144"/>
        <c:axId val="909463824"/>
      </c:barChart>
      <c:catAx>
        <c:axId val="909468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463824"/>
        <c:crosses val="autoZero"/>
        <c:auto val="1"/>
        <c:lblAlgn val="ctr"/>
        <c:lblOffset val="100"/>
        <c:noMultiLvlLbl val="0"/>
      </c:catAx>
      <c:valAx>
        <c:axId val="9094638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No.</a:t>
                </a:r>
                <a:r>
                  <a:rPr lang="en-IN" baseline="0">
                    <a:solidFill>
                      <a:schemeClr val="tx1"/>
                    </a:solidFill>
                  </a:rPr>
                  <a:t> Of Employees</a:t>
                </a:r>
                <a:endParaRPr lang="en-IN">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468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Import.xlsx]Pivot!PivotTable2</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effectLst/>
              </a:rPr>
              <a:t>Country-wise Average Salary Analysis</a:t>
            </a:r>
            <a:r>
              <a:rPr lang="en-IN" sz="1400" b="0" i="0" u="none" strike="noStrike" baseline="0">
                <a:solidFill>
                  <a:schemeClr val="tx1"/>
                </a:solidFill>
                <a:effectLst/>
              </a:rPr>
              <a:t> </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Pivot!$F$3</c:f>
              <c:strCache>
                <c:ptCount val="1"/>
                <c:pt idx="0">
                  <c:v>Total</c:v>
                </c:pt>
              </c:strCache>
            </c:strRef>
          </c:tx>
          <c:spPr>
            <a:solidFill>
              <a:schemeClr val="accent1"/>
            </a:solidFill>
            <a:ln>
              <a:noFill/>
            </a:ln>
            <a:effectLst/>
          </c:spPr>
          <c:invertIfNegative val="0"/>
          <c:cat>
            <c:strRef>
              <c:f>Pivot!$E$4:$E$9</c:f>
              <c:strCache>
                <c:ptCount val="5"/>
                <c:pt idx="0">
                  <c:v>Australia</c:v>
                </c:pt>
                <c:pt idx="1">
                  <c:v>Germany</c:v>
                </c:pt>
                <c:pt idx="2">
                  <c:v>India</c:v>
                </c:pt>
                <c:pt idx="3">
                  <c:v>UK</c:v>
                </c:pt>
                <c:pt idx="4">
                  <c:v>USA</c:v>
                </c:pt>
              </c:strCache>
            </c:strRef>
          </c:cat>
          <c:val>
            <c:numRef>
              <c:f>Pivot!$F$4:$F$9</c:f>
              <c:numCache>
                <c:formatCode>"₹"\ #,##0.00</c:formatCode>
                <c:ptCount val="5"/>
                <c:pt idx="0">
                  <c:v>61609.84210526316</c:v>
                </c:pt>
                <c:pt idx="1">
                  <c:v>65897.318181818177</c:v>
                </c:pt>
                <c:pt idx="2">
                  <c:v>67654.166666666672</c:v>
                </c:pt>
                <c:pt idx="3">
                  <c:v>62511.045454545456</c:v>
                </c:pt>
                <c:pt idx="4">
                  <c:v>68461.565217391311</c:v>
                </c:pt>
              </c:numCache>
            </c:numRef>
          </c:val>
          <c:extLst>
            <c:ext xmlns:c16="http://schemas.microsoft.com/office/drawing/2014/chart" uri="{C3380CC4-5D6E-409C-BE32-E72D297353CC}">
              <c16:uniqueId val="{00000000-84F1-4C94-943E-A9E53B5D2CBC}"/>
            </c:ext>
          </c:extLst>
        </c:ser>
        <c:dLbls>
          <c:showLegendKey val="0"/>
          <c:showVal val="0"/>
          <c:showCatName val="0"/>
          <c:showSerName val="0"/>
          <c:showPercent val="0"/>
          <c:showBubbleSize val="0"/>
        </c:dLbls>
        <c:gapWidth val="150"/>
        <c:overlap val="100"/>
        <c:axId val="909482064"/>
        <c:axId val="909466224"/>
      </c:barChart>
      <c:catAx>
        <c:axId val="9094820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Country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466224"/>
        <c:crosses val="autoZero"/>
        <c:auto val="1"/>
        <c:lblAlgn val="ctr"/>
        <c:lblOffset val="100"/>
        <c:noMultiLvlLbl val="0"/>
      </c:catAx>
      <c:valAx>
        <c:axId val="909466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Average</a:t>
                </a:r>
                <a:r>
                  <a:rPr lang="en-IN" baseline="0">
                    <a:solidFill>
                      <a:schemeClr val="tx1"/>
                    </a:solidFill>
                  </a:rPr>
                  <a:t> Salary</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482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Import.xlsx]Pivot!PivotTable3</c:name>
    <c:fmtId val="2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i="0" u="none" strike="noStrike" baseline="0">
                <a:solidFill>
                  <a:schemeClr val="tx1"/>
                </a:solidFill>
                <a:effectLst/>
              </a:rPr>
              <a:t>Salary Status Distribution</a:t>
            </a:r>
            <a:r>
              <a:rPr lang="en-IN" sz="1400" b="0" i="0" u="none" strike="noStrike" baseline="0">
                <a:solidFill>
                  <a:schemeClr val="tx1"/>
                </a:solidFill>
                <a:effectLst/>
              </a:rPr>
              <a:t> </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Pivot!$L$3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41E-4319-8F85-FAA587DE5ED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41E-4319-8F85-FAA587DE5ED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41E-4319-8F85-FAA587DE5ED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Pivot!$K$4:$K$7</c:f>
              <c:strCache>
                <c:ptCount val="3"/>
                <c:pt idx="0">
                  <c:v>Good Salary</c:v>
                </c:pt>
                <c:pt idx="1">
                  <c:v>High Salary</c:v>
                </c:pt>
                <c:pt idx="2">
                  <c:v>Low Salary</c:v>
                </c:pt>
              </c:strCache>
            </c:strRef>
          </c:cat>
          <c:val>
            <c:numRef>
              <c:f>Pivot!$L$4:$L$7</c:f>
              <c:numCache>
                <c:formatCode>General</c:formatCode>
                <c:ptCount val="3"/>
                <c:pt idx="0">
                  <c:v>57</c:v>
                </c:pt>
                <c:pt idx="1">
                  <c:v>59</c:v>
                </c:pt>
                <c:pt idx="2">
                  <c:v>24</c:v>
                </c:pt>
              </c:numCache>
            </c:numRef>
          </c:val>
          <c:extLst>
            <c:ext xmlns:c16="http://schemas.microsoft.com/office/drawing/2014/chart" uri="{C3380CC4-5D6E-409C-BE32-E72D297353CC}">
              <c16:uniqueId val="{00000006-341E-4319-8F85-FAA587DE5ED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Import.xlsx]Pivot!PivotTable5</c:name>
    <c:fmtId val="3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i="0" u="none" strike="noStrike" baseline="0">
                <a:solidFill>
                  <a:schemeClr val="tx1"/>
                </a:solidFill>
                <a:effectLst/>
              </a:rPr>
              <a:t>Gender Diversity by Department</a:t>
            </a:r>
            <a:r>
              <a:rPr lang="en-IN" sz="1400" b="0" i="0" u="none" strike="noStrike" baseline="0">
                <a:solidFill>
                  <a:schemeClr val="tx1"/>
                </a:solidFill>
                <a:effectLst/>
              </a:rPr>
              <a:t> </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Pivot!$B$30:$B$31</c:f>
              <c:strCache>
                <c:ptCount val="1"/>
                <c:pt idx="0">
                  <c:v>Female</c:v>
                </c:pt>
              </c:strCache>
            </c:strRef>
          </c:tx>
          <c:spPr>
            <a:solidFill>
              <a:schemeClr val="accent1"/>
            </a:solidFill>
            <a:ln>
              <a:noFill/>
            </a:ln>
            <a:effectLst/>
          </c:spPr>
          <c:invertIfNegative val="0"/>
          <c:cat>
            <c:strRef>
              <c:f>Pivot!$A$32:$A$37</c:f>
              <c:strCache>
                <c:ptCount val="5"/>
                <c:pt idx="0">
                  <c:v>Finance</c:v>
                </c:pt>
                <c:pt idx="1">
                  <c:v>HR</c:v>
                </c:pt>
                <c:pt idx="2">
                  <c:v>IT</c:v>
                </c:pt>
                <c:pt idx="3">
                  <c:v>Marketing</c:v>
                </c:pt>
                <c:pt idx="4">
                  <c:v>Sales</c:v>
                </c:pt>
              </c:strCache>
            </c:strRef>
          </c:cat>
          <c:val>
            <c:numRef>
              <c:f>Pivot!$B$32:$B$37</c:f>
              <c:numCache>
                <c:formatCode>General</c:formatCode>
                <c:ptCount val="5"/>
                <c:pt idx="0">
                  <c:v>3</c:v>
                </c:pt>
                <c:pt idx="1">
                  <c:v>4</c:v>
                </c:pt>
                <c:pt idx="2">
                  <c:v>7</c:v>
                </c:pt>
                <c:pt idx="3">
                  <c:v>11</c:v>
                </c:pt>
                <c:pt idx="4">
                  <c:v>8</c:v>
                </c:pt>
              </c:numCache>
            </c:numRef>
          </c:val>
          <c:extLst>
            <c:ext xmlns:c16="http://schemas.microsoft.com/office/drawing/2014/chart" uri="{C3380CC4-5D6E-409C-BE32-E72D297353CC}">
              <c16:uniqueId val="{00000000-F798-489B-B46E-E3706174D0DF}"/>
            </c:ext>
          </c:extLst>
        </c:ser>
        <c:ser>
          <c:idx val="1"/>
          <c:order val="1"/>
          <c:tx>
            <c:strRef>
              <c:f>Pivot!$C$30:$C$31</c:f>
              <c:strCache>
                <c:ptCount val="1"/>
                <c:pt idx="0">
                  <c:v>Male</c:v>
                </c:pt>
              </c:strCache>
            </c:strRef>
          </c:tx>
          <c:spPr>
            <a:solidFill>
              <a:schemeClr val="accent2"/>
            </a:solidFill>
            <a:ln>
              <a:noFill/>
            </a:ln>
            <a:effectLst/>
          </c:spPr>
          <c:invertIfNegative val="0"/>
          <c:cat>
            <c:strRef>
              <c:f>Pivot!$A$32:$A$37</c:f>
              <c:strCache>
                <c:ptCount val="5"/>
                <c:pt idx="0">
                  <c:v>Finance</c:v>
                </c:pt>
                <c:pt idx="1">
                  <c:v>HR</c:v>
                </c:pt>
                <c:pt idx="2">
                  <c:v>IT</c:v>
                </c:pt>
                <c:pt idx="3">
                  <c:v>Marketing</c:v>
                </c:pt>
                <c:pt idx="4">
                  <c:v>Sales</c:v>
                </c:pt>
              </c:strCache>
            </c:strRef>
          </c:cat>
          <c:val>
            <c:numRef>
              <c:f>Pivot!$C$32:$C$37</c:f>
              <c:numCache>
                <c:formatCode>General</c:formatCode>
                <c:ptCount val="5"/>
                <c:pt idx="0">
                  <c:v>2</c:v>
                </c:pt>
                <c:pt idx="1">
                  <c:v>6</c:v>
                </c:pt>
                <c:pt idx="2">
                  <c:v>9</c:v>
                </c:pt>
                <c:pt idx="3">
                  <c:v>8</c:v>
                </c:pt>
                <c:pt idx="4">
                  <c:v>7</c:v>
                </c:pt>
              </c:numCache>
            </c:numRef>
          </c:val>
          <c:extLst>
            <c:ext xmlns:c16="http://schemas.microsoft.com/office/drawing/2014/chart" uri="{C3380CC4-5D6E-409C-BE32-E72D297353CC}">
              <c16:uniqueId val="{00000001-F798-489B-B46E-E3706174D0DF}"/>
            </c:ext>
          </c:extLst>
        </c:ser>
        <c:ser>
          <c:idx val="2"/>
          <c:order val="2"/>
          <c:tx>
            <c:strRef>
              <c:f>Pivot!$D$30:$D$31</c:f>
              <c:strCache>
                <c:ptCount val="1"/>
                <c:pt idx="0">
                  <c:v>Not Specified</c:v>
                </c:pt>
              </c:strCache>
            </c:strRef>
          </c:tx>
          <c:spPr>
            <a:solidFill>
              <a:schemeClr val="accent3"/>
            </a:solidFill>
            <a:ln>
              <a:noFill/>
            </a:ln>
            <a:effectLst/>
          </c:spPr>
          <c:invertIfNegative val="0"/>
          <c:cat>
            <c:strRef>
              <c:f>Pivot!$A$32:$A$37</c:f>
              <c:strCache>
                <c:ptCount val="5"/>
                <c:pt idx="0">
                  <c:v>Finance</c:v>
                </c:pt>
                <c:pt idx="1">
                  <c:v>HR</c:v>
                </c:pt>
                <c:pt idx="2">
                  <c:v>IT</c:v>
                </c:pt>
                <c:pt idx="3">
                  <c:v>Marketing</c:v>
                </c:pt>
                <c:pt idx="4">
                  <c:v>Sales</c:v>
                </c:pt>
              </c:strCache>
            </c:strRef>
          </c:cat>
          <c:val>
            <c:numRef>
              <c:f>Pivot!$D$32:$D$37</c:f>
              <c:numCache>
                <c:formatCode>General</c:formatCode>
                <c:ptCount val="5"/>
                <c:pt idx="0">
                  <c:v>9</c:v>
                </c:pt>
                <c:pt idx="1">
                  <c:v>6</c:v>
                </c:pt>
                <c:pt idx="2">
                  <c:v>4</c:v>
                </c:pt>
                <c:pt idx="3">
                  <c:v>18</c:v>
                </c:pt>
                <c:pt idx="4">
                  <c:v>7</c:v>
                </c:pt>
              </c:numCache>
            </c:numRef>
          </c:val>
          <c:extLst>
            <c:ext xmlns:c16="http://schemas.microsoft.com/office/drawing/2014/chart" uri="{C3380CC4-5D6E-409C-BE32-E72D297353CC}">
              <c16:uniqueId val="{00000002-F798-489B-B46E-E3706174D0DF}"/>
            </c:ext>
          </c:extLst>
        </c:ser>
        <c:ser>
          <c:idx val="3"/>
          <c:order val="3"/>
          <c:tx>
            <c:strRef>
              <c:f>Pivot!$E$30:$E$31</c:f>
              <c:strCache>
                <c:ptCount val="1"/>
                <c:pt idx="0">
                  <c:v>Other</c:v>
                </c:pt>
              </c:strCache>
            </c:strRef>
          </c:tx>
          <c:spPr>
            <a:solidFill>
              <a:schemeClr val="accent4"/>
            </a:solidFill>
            <a:ln>
              <a:noFill/>
            </a:ln>
            <a:effectLst/>
          </c:spPr>
          <c:invertIfNegative val="0"/>
          <c:cat>
            <c:strRef>
              <c:f>Pivot!$A$32:$A$37</c:f>
              <c:strCache>
                <c:ptCount val="5"/>
                <c:pt idx="0">
                  <c:v>Finance</c:v>
                </c:pt>
                <c:pt idx="1">
                  <c:v>HR</c:v>
                </c:pt>
                <c:pt idx="2">
                  <c:v>IT</c:v>
                </c:pt>
                <c:pt idx="3">
                  <c:v>Marketing</c:v>
                </c:pt>
                <c:pt idx="4">
                  <c:v>Sales</c:v>
                </c:pt>
              </c:strCache>
            </c:strRef>
          </c:cat>
          <c:val>
            <c:numRef>
              <c:f>Pivot!$E$32:$E$37</c:f>
              <c:numCache>
                <c:formatCode>General</c:formatCode>
                <c:ptCount val="5"/>
                <c:pt idx="0">
                  <c:v>7</c:v>
                </c:pt>
                <c:pt idx="1">
                  <c:v>6</c:v>
                </c:pt>
                <c:pt idx="2">
                  <c:v>2</c:v>
                </c:pt>
                <c:pt idx="3">
                  <c:v>13</c:v>
                </c:pt>
                <c:pt idx="4">
                  <c:v>3</c:v>
                </c:pt>
              </c:numCache>
            </c:numRef>
          </c:val>
          <c:extLst>
            <c:ext xmlns:c16="http://schemas.microsoft.com/office/drawing/2014/chart" uri="{C3380CC4-5D6E-409C-BE32-E72D297353CC}">
              <c16:uniqueId val="{00000003-F798-489B-B46E-E3706174D0DF}"/>
            </c:ext>
          </c:extLst>
        </c:ser>
        <c:dLbls>
          <c:showLegendKey val="0"/>
          <c:showVal val="0"/>
          <c:showCatName val="0"/>
          <c:showSerName val="0"/>
          <c:showPercent val="0"/>
          <c:showBubbleSize val="0"/>
        </c:dLbls>
        <c:gapWidth val="150"/>
        <c:overlap val="100"/>
        <c:axId val="1032579936"/>
        <c:axId val="1032574176"/>
      </c:barChart>
      <c:catAx>
        <c:axId val="1032579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574176"/>
        <c:crosses val="autoZero"/>
        <c:auto val="1"/>
        <c:lblAlgn val="ctr"/>
        <c:lblOffset val="100"/>
        <c:noMultiLvlLbl val="0"/>
      </c:catAx>
      <c:valAx>
        <c:axId val="10325741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No.</a:t>
                </a:r>
                <a:r>
                  <a:rPr lang="en-IN" baseline="0">
                    <a:solidFill>
                      <a:schemeClr val="tx1"/>
                    </a:solidFill>
                  </a:rPr>
                  <a:t> Of Employees</a:t>
                </a:r>
                <a:endParaRPr lang="en-IN">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57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Import.xlsx]Pivot!PivotTable6</c:name>
    <c:fmtId val="39"/>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i="0" u="none" strike="noStrike" baseline="0">
                <a:solidFill>
                  <a:schemeClr val="tx1"/>
                </a:solidFill>
                <a:effectLst/>
              </a:rPr>
              <a:t>Department-wise Performance vs Avg Salary</a:t>
            </a:r>
            <a:r>
              <a:rPr lang="en-IN" sz="1400" b="0" i="0" u="none" strike="noStrike" baseline="0">
                <a:solidFill>
                  <a:schemeClr val="tx1"/>
                </a:solidFill>
                <a:effectLst/>
              </a:rPr>
              <a:t> </a:t>
            </a:r>
            <a:r>
              <a:rPr lang="en-IN">
                <a:solidFill>
                  <a:schemeClr val="tx1"/>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Pivot!$I$30</c:f>
              <c:strCache>
                <c:ptCount val="1"/>
                <c:pt idx="0">
                  <c:v>Average of Salary</c:v>
                </c:pt>
              </c:strCache>
            </c:strRef>
          </c:tx>
          <c:spPr>
            <a:solidFill>
              <a:schemeClr val="accent6"/>
            </a:solidFill>
            <a:ln>
              <a:noFill/>
            </a:ln>
            <a:effectLst/>
          </c:spPr>
          <c:invertIfNegative val="0"/>
          <c:cat>
            <c:strRef>
              <c:f>Pivot!$H$31:$H$36</c:f>
              <c:strCache>
                <c:ptCount val="5"/>
                <c:pt idx="0">
                  <c:v>Finance</c:v>
                </c:pt>
                <c:pt idx="1">
                  <c:v>HR</c:v>
                </c:pt>
                <c:pt idx="2">
                  <c:v>IT</c:v>
                </c:pt>
                <c:pt idx="3">
                  <c:v>Marketing</c:v>
                </c:pt>
                <c:pt idx="4">
                  <c:v>Sales</c:v>
                </c:pt>
              </c:strCache>
            </c:strRef>
          </c:cat>
          <c:val>
            <c:numRef>
              <c:f>Pivot!$I$31:$I$36</c:f>
              <c:numCache>
                <c:formatCode>#,##0.00</c:formatCode>
                <c:ptCount val="5"/>
                <c:pt idx="0">
                  <c:v>65617.761904761908</c:v>
                </c:pt>
                <c:pt idx="1">
                  <c:v>67234.181818181823</c:v>
                </c:pt>
                <c:pt idx="2">
                  <c:v>66184.409090909088</c:v>
                </c:pt>
                <c:pt idx="3">
                  <c:v>64847.26</c:v>
                </c:pt>
                <c:pt idx="4">
                  <c:v>66718.679999999993</c:v>
                </c:pt>
              </c:numCache>
            </c:numRef>
          </c:val>
          <c:extLst>
            <c:ext xmlns:c16="http://schemas.microsoft.com/office/drawing/2014/chart" uri="{C3380CC4-5D6E-409C-BE32-E72D297353CC}">
              <c16:uniqueId val="{00000000-6880-42EB-AEFC-82ADDBDD5515}"/>
            </c:ext>
          </c:extLst>
        </c:ser>
        <c:dLbls>
          <c:showLegendKey val="0"/>
          <c:showVal val="0"/>
          <c:showCatName val="0"/>
          <c:showSerName val="0"/>
          <c:showPercent val="0"/>
          <c:showBubbleSize val="0"/>
        </c:dLbls>
        <c:gapWidth val="219"/>
        <c:overlap val="-27"/>
        <c:axId val="1670004352"/>
        <c:axId val="1670000992"/>
      </c:barChart>
      <c:lineChart>
        <c:grouping val="standard"/>
        <c:varyColors val="0"/>
        <c:ser>
          <c:idx val="1"/>
          <c:order val="1"/>
          <c:tx>
            <c:strRef>
              <c:f>Pivot!$J$30</c:f>
              <c:strCache>
                <c:ptCount val="1"/>
                <c:pt idx="0">
                  <c:v>Average of Performance Rating</c:v>
                </c:pt>
              </c:strCache>
            </c:strRef>
          </c:tx>
          <c:spPr>
            <a:ln w="28575" cap="rnd">
              <a:solidFill>
                <a:schemeClr val="accent5"/>
              </a:solidFill>
              <a:round/>
            </a:ln>
            <a:effectLst/>
          </c:spPr>
          <c:marker>
            <c:symbol val="none"/>
          </c:marker>
          <c:cat>
            <c:strRef>
              <c:f>Pivot!$H$31:$H$36</c:f>
              <c:strCache>
                <c:ptCount val="5"/>
                <c:pt idx="0">
                  <c:v>Finance</c:v>
                </c:pt>
                <c:pt idx="1">
                  <c:v>HR</c:v>
                </c:pt>
                <c:pt idx="2">
                  <c:v>IT</c:v>
                </c:pt>
                <c:pt idx="3">
                  <c:v>Marketing</c:v>
                </c:pt>
                <c:pt idx="4">
                  <c:v>Sales</c:v>
                </c:pt>
              </c:strCache>
            </c:strRef>
          </c:cat>
          <c:val>
            <c:numRef>
              <c:f>Pivot!$J$31:$J$36</c:f>
              <c:numCache>
                <c:formatCode>0.00</c:formatCode>
                <c:ptCount val="5"/>
                <c:pt idx="0">
                  <c:v>2.6666666666666665</c:v>
                </c:pt>
                <c:pt idx="1">
                  <c:v>2.7272727272727271</c:v>
                </c:pt>
                <c:pt idx="2">
                  <c:v>2.8636363636363638</c:v>
                </c:pt>
                <c:pt idx="3">
                  <c:v>3.1</c:v>
                </c:pt>
                <c:pt idx="4">
                  <c:v>2.84</c:v>
                </c:pt>
              </c:numCache>
            </c:numRef>
          </c:val>
          <c:smooth val="0"/>
          <c:extLst>
            <c:ext xmlns:c16="http://schemas.microsoft.com/office/drawing/2014/chart" uri="{C3380CC4-5D6E-409C-BE32-E72D297353CC}">
              <c16:uniqueId val="{00000001-6880-42EB-AEFC-82ADDBDD5515}"/>
            </c:ext>
          </c:extLst>
        </c:ser>
        <c:dLbls>
          <c:showLegendKey val="0"/>
          <c:showVal val="0"/>
          <c:showCatName val="0"/>
          <c:showSerName val="0"/>
          <c:showPercent val="0"/>
          <c:showBubbleSize val="0"/>
        </c:dLbls>
        <c:marker val="1"/>
        <c:smooth val="0"/>
        <c:axId val="1670004352"/>
        <c:axId val="1670000992"/>
      </c:lineChart>
      <c:catAx>
        <c:axId val="1670004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000992"/>
        <c:crosses val="autoZero"/>
        <c:auto val="1"/>
        <c:lblAlgn val="ctr"/>
        <c:lblOffset val="100"/>
        <c:noMultiLvlLbl val="0"/>
      </c:catAx>
      <c:valAx>
        <c:axId val="167000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baseline="0">
                    <a:solidFill>
                      <a:schemeClr val="tx1"/>
                    </a:solidFill>
                  </a:rPr>
                  <a:t> Avergae Salary &amp; Performance Rating</a:t>
                </a:r>
                <a:endParaRPr lang="en-IN">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00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Import.xlsx]Pivot!PivotTable10</c:name>
    <c:fmtId val="30"/>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solidFill>
                  <a:schemeClr val="tx1"/>
                </a:solidFill>
                <a:effectLst/>
              </a:rPr>
              <a:t>Department-wise Average Employee Tenure</a:t>
            </a:r>
            <a:r>
              <a:rPr lang="en-IN" sz="1400" b="0" i="0" u="none" strike="noStrike" baseline="0">
                <a:solidFill>
                  <a:schemeClr val="tx1"/>
                </a:solidFill>
                <a:effectLst/>
              </a:rPr>
              <a:t> </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8.611111111111111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111111111111111"/>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solidFill>
          <a:ln w="19050">
            <a:solidFill>
              <a:schemeClr val="lt1"/>
            </a:solidFill>
          </a:ln>
          <a:effectLst/>
        </c:spPr>
        <c:dLbl>
          <c:idx val="0"/>
          <c:layout>
            <c:manualLayout>
              <c:x val="-6.6666666666666666E-2"/>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7.2222222222222215E-2"/>
              <c:y val="8.333333333333324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3"/>
          </a:solidFill>
          <a:ln w="19050">
            <a:solidFill>
              <a:schemeClr val="lt1"/>
            </a:solidFill>
          </a:ln>
          <a:effectLst/>
        </c:spPr>
        <c:dLbl>
          <c:idx val="0"/>
          <c:layout>
            <c:manualLayout>
              <c:x val="0.11388888888888889"/>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solidFill>
          <a:ln w="19050">
            <a:solidFill>
              <a:schemeClr val="lt1"/>
            </a:solidFill>
          </a:ln>
          <a:effectLst/>
        </c:spPr>
        <c:dLbl>
          <c:idx val="0"/>
          <c:layout>
            <c:manualLayout>
              <c:x val="0.1111111111111111"/>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8.611111111111111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solidFill>
          <a:ln w="19050">
            <a:solidFill>
              <a:schemeClr val="lt1"/>
            </a:solidFill>
          </a:ln>
          <a:effectLst/>
        </c:spPr>
        <c:dLbl>
          <c:idx val="0"/>
          <c:layout>
            <c:manualLayout>
              <c:x val="0.11388888888888889"/>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dLbl>
          <c:idx val="0"/>
          <c:layout>
            <c:manualLayout>
              <c:x val="-7.2222222222222215E-2"/>
              <c:y val="8.333333333333324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6.6666666666666666E-2"/>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solidFill>
          <a:ln w="19050">
            <a:solidFill>
              <a:schemeClr val="lt1"/>
            </a:solidFill>
          </a:ln>
          <a:effectLst/>
        </c:spPr>
        <c:dLbl>
          <c:idx val="0"/>
          <c:layout>
            <c:manualLayout>
              <c:x val="0.1111111111111111"/>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dLbl>
          <c:idx val="0"/>
          <c:layout>
            <c:manualLayout>
              <c:x val="8.611111111111111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dLbl>
          <c:idx val="0"/>
          <c:layout>
            <c:manualLayout>
              <c:x val="0.11388888888888889"/>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7.2222222222222215E-2"/>
              <c:y val="8.333333333333324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chemeClr val="accent1"/>
          </a:solidFill>
          <a:ln w="19050">
            <a:solidFill>
              <a:schemeClr val="lt1"/>
            </a:solidFill>
          </a:ln>
          <a:effectLst/>
        </c:spPr>
        <c:dLbl>
          <c:idx val="0"/>
          <c:layout>
            <c:manualLayout>
              <c:x val="-6.6666666666666666E-2"/>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Pivot!$K$57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189-4154-B057-ADC03C21B72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189-4154-B057-ADC03C21B72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189-4154-B057-ADC03C21B72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189-4154-B057-ADC03C21B72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6189-4154-B057-ADC03C21B72E}"/>
              </c:ext>
            </c:extLst>
          </c:dPt>
          <c:dLbls>
            <c:dLbl>
              <c:idx val="0"/>
              <c:layout>
                <c:manualLayout>
                  <c:x val="0.1111111111111111"/>
                  <c:y val="-2.77777777777777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6189-4154-B057-ADC03C21B72E}"/>
                </c:ext>
              </c:extLst>
            </c:dLbl>
            <c:dLbl>
              <c:idx val="1"/>
              <c:layout>
                <c:manualLayout>
                  <c:x val="8.611111111111111E-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189-4154-B057-ADC03C21B72E}"/>
                </c:ext>
              </c:extLst>
            </c:dLbl>
            <c:dLbl>
              <c:idx val="2"/>
              <c:layout>
                <c:manualLayout>
                  <c:x val="0.11388888888888889"/>
                  <c:y val="8.79629629629629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189-4154-B057-ADC03C21B72E}"/>
                </c:ext>
              </c:extLst>
            </c:dLbl>
            <c:dLbl>
              <c:idx val="3"/>
              <c:layout>
                <c:manualLayout>
                  <c:x val="-7.2222222222222215E-2"/>
                  <c:y val="8.333333333333324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6189-4154-B057-ADC03C21B72E}"/>
                </c:ext>
              </c:extLst>
            </c:dLbl>
            <c:dLbl>
              <c:idx val="4"/>
              <c:layout>
                <c:manualLayout>
                  <c:x val="-6.6666666666666666E-2"/>
                  <c:y val="-6.94444444444444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6189-4154-B057-ADC03C21B72E}"/>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Pivot!$J$58:$J$63</c:f>
              <c:strCache>
                <c:ptCount val="5"/>
                <c:pt idx="0">
                  <c:v>Finance</c:v>
                </c:pt>
                <c:pt idx="1">
                  <c:v>HR</c:v>
                </c:pt>
                <c:pt idx="2">
                  <c:v>IT</c:v>
                </c:pt>
                <c:pt idx="3">
                  <c:v>Marketing</c:v>
                </c:pt>
                <c:pt idx="4">
                  <c:v>Sales</c:v>
                </c:pt>
              </c:strCache>
            </c:strRef>
          </c:cat>
          <c:val>
            <c:numRef>
              <c:f>Pivot!$K$58:$K$63</c:f>
              <c:numCache>
                <c:formatCode>0</c:formatCode>
                <c:ptCount val="5"/>
                <c:pt idx="0">
                  <c:v>3713.6666666666665</c:v>
                </c:pt>
                <c:pt idx="1">
                  <c:v>3708.7727272727275</c:v>
                </c:pt>
                <c:pt idx="2">
                  <c:v>3639.7272727272725</c:v>
                </c:pt>
                <c:pt idx="3">
                  <c:v>3576.04</c:v>
                </c:pt>
                <c:pt idx="4">
                  <c:v>3573</c:v>
                </c:pt>
              </c:numCache>
            </c:numRef>
          </c:val>
          <c:extLst>
            <c:ext xmlns:c16="http://schemas.microsoft.com/office/drawing/2014/chart" uri="{C3380CC4-5D6E-409C-BE32-E72D297353CC}">
              <c16:uniqueId val="{0000000A-6189-4154-B057-ADC03C21B72E}"/>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[Employee_Details Import.xlsx]Pivot!PivotTable1</c:name>
    <c:fmtId val="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solidFill>
                  <a:schemeClr val="tx1"/>
                </a:solidFill>
                <a:effectLst/>
              </a:rPr>
              <a:t>Department-wise Employee Count</a:t>
            </a:r>
            <a:r>
              <a:rPr lang="en-IN" sz="1400" b="0" i="0" u="none" strike="noStrike" baseline="0">
                <a:solidFill>
                  <a:schemeClr val="tx1"/>
                </a:solidFill>
                <a:effectLst/>
              </a:rPr>
              <a:t> </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Pivot!$B$3</c:f>
              <c:strCache>
                <c:ptCount val="1"/>
                <c:pt idx="0">
                  <c:v>Total</c:v>
                </c:pt>
              </c:strCache>
            </c:strRef>
          </c:tx>
          <c:spPr>
            <a:solidFill>
              <a:schemeClr val="accent5"/>
            </a:solidFill>
            <a:ln>
              <a:noFill/>
            </a:ln>
            <a:effectLst/>
          </c:spPr>
          <c:invertIfNegative val="0"/>
          <c:cat>
            <c:strRef>
              <c:f>Pivot!$A$4:$A$9</c:f>
              <c:strCache>
                <c:ptCount val="5"/>
                <c:pt idx="0">
                  <c:v>Finance</c:v>
                </c:pt>
                <c:pt idx="1">
                  <c:v>HR</c:v>
                </c:pt>
                <c:pt idx="2">
                  <c:v>IT</c:v>
                </c:pt>
                <c:pt idx="3">
                  <c:v>Marketing</c:v>
                </c:pt>
                <c:pt idx="4">
                  <c:v>Sales</c:v>
                </c:pt>
              </c:strCache>
            </c:strRef>
          </c:cat>
          <c:val>
            <c:numRef>
              <c:f>Pivot!$B$4:$B$9</c:f>
              <c:numCache>
                <c:formatCode>General</c:formatCode>
                <c:ptCount val="5"/>
                <c:pt idx="0">
                  <c:v>21</c:v>
                </c:pt>
                <c:pt idx="1">
                  <c:v>22</c:v>
                </c:pt>
                <c:pt idx="2">
                  <c:v>22</c:v>
                </c:pt>
                <c:pt idx="3">
                  <c:v>50</c:v>
                </c:pt>
                <c:pt idx="4">
                  <c:v>25</c:v>
                </c:pt>
              </c:numCache>
            </c:numRef>
          </c:val>
          <c:extLst>
            <c:ext xmlns:c16="http://schemas.microsoft.com/office/drawing/2014/chart" uri="{C3380CC4-5D6E-409C-BE32-E72D297353CC}">
              <c16:uniqueId val="{00000000-4FAE-40CE-A950-2D51FA4D4F76}"/>
            </c:ext>
          </c:extLst>
        </c:ser>
        <c:dLbls>
          <c:showLegendKey val="0"/>
          <c:showVal val="0"/>
          <c:showCatName val="0"/>
          <c:showSerName val="0"/>
          <c:showPercent val="0"/>
          <c:showBubbleSize val="0"/>
        </c:dLbls>
        <c:gapWidth val="219"/>
        <c:overlap val="-27"/>
        <c:axId val="909468144"/>
        <c:axId val="909463824"/>
      </c:barChart>
      <c:catAx>
        <c:axId val="90946814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463824"/>
        <c:crosses val="autoZero"/>
        <c:auto val="1"/>
        <c:lblAlgn val="ctr"/>
        <c:lblOffset val="100"/>
        <c:noMultiLvlLbl val="0"/>
      </c:catAx>
      <c:valAx>
        <c:axId val="9094638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No.</a:t>
                </a:r>
                <a:r>
                  <a:rPr lang="en-IN" baseline="0">
                    <a:solidFill>
                      <a:schemeClr val="tx1"/>
                    </a:solidFill>
                  </a:rPr>
                  <a:t> Of Employees</a:t>
                </a:r>
                <a:endParaRPr lang="en-IN">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468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Import.xlsx]Pivot!PivotTable2</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tx1"/>
                </a:solidFill>
                <a:effectLst/>
              </a:rPr>
              <a:t>Country-wise Average Salary Analysis</a:t>
            </a:r>
            <a:r>
              <a:rPr lang="en-IN" sz="1400" b="0" i="0" u="none" strike="noStrike" baseline="0">
                <a:solidFill>
                  <a:schemeClr val="tx1"/>
                </a:solidFill>
                <a:effectLst/>
              </a:rPr>
              <a:t> </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Pivot!$F$3</c:f>
              <c:strCache>
                <c:ptCount val="1"/>
                <c:pt idx="0">
                  <c:v>Total</c:v>
                </c:pt>
              </c:strCache>
            </c:strRef>
          </c:tx>
          <c:spPr>
            <a:solidFill>
              <a:schemeClr val="accent1"/>
            </a:solidFill>
            <a:ln>
              <a:noFill/>
            </a:ln>
            <a:effectLst/>
          </c:spPr>
          <c:invertIfNegative val="0"/>
          <c:cat>
            <c:strRef>
              <c:f>Pivot!$E$4:$E$9</c:f>
              <c:strCache>
                <c:ptCount val="5"/>
                <c:pt idx="0">
                  <c:v>Australia</c:v>
                </c:pt>
                <c:pt idx="1">
                  <c:v>Germany</c:v>
                </c:pt>
                <c:pt idx="2">
                  <c:v>India</c:v>
                </c:pt>
                <c:pt idx="3">
                  <c:v>UK</c:v>
                </c:pt>
                <c:pt idx="4">
                  <c:v>USA</c:v>
                </c:pt>
              </c:strCache>
            </c:strRef>
          </c:cat>
          <c:val>
            <c:numRef>
              <c:f>Pivot!$F$4:$F$9</c:f>
              <c:numCache>
                <c:formatCode>"₹"\ #,##0.00</c:formatCode>
                <c:ptCount val="5"/>
                <c:pt idx="0">
                  <c:v>61609.84210526316</c:v>
                </c:pt>
                <c:pt idx="1">
                  <c:v>65897.318181818177</c:v>
                </c:pt>
                <c:pt idx="2">
                  <c:v>67654.166666666672</c:v>
                </c:pt>
                <c:pt idx="3">
                  <c:v>62511.045454545456</c:v>
                </c:pt>
                <c:pt idx="4">
                  <c:v>68461.565217391311</c:v>
                </c:pt>
              </c:numCache>
            </c:numRef>
          </c:val>
          <c:extLst>
            <c:ext xmlns:c16="http://schemas.microsoft.com/office/drawing/2014/chart" uri="{C3380CC4-5D6E-409C-BE32-E72D297353CC}">
              <c16:uniqueId val="{00000000-C757-4C5D-9274-99F659B61209}"/>
            </c:ext>
          </c:extLst>
        </c:ser>
        <c:dLbls>
          <c:showLegendKey val="0"/>
          <c:showVal val="0"/>
          <c:showCatName val="0"/>
          <c:showSerName val="0"/>
          <c:showPercent val="0"/>
          <c:showBubbleSize val="0"/>
        </c:dLbls>
        <c:gapWidth val="150"/>
        <c:overlap val="100"/>
        <c:axId val="909482064"/>
        <c:axId val="909466224"/>
      </c:barChart>
      <c:catAx>
        <c:axId val="90948206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Country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466224"/>
        <c:crosses val="autoZero"/>
        <c:auto val="1"/>
        <c:lblAlgn val="ctr"/>
        <c:lblOffset val="100"/>
        <c:noMultiLvlLbl val="0"/>
      </c:catAx>
      <c:valAx>
        <c:axId val="909466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Average</a:t>
                </a:r>
                <a:r>
                  <a:rPr lang="en-IN" baseline="0">
                    <a:solidFill>
                      <a:schemeClr val="tx1"/>
                    </a:solidFill>
                  </a:rPr>
                  <a:t> Salary</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94820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Import.xlsx]Pivot!PivotTable3</c:name>
    <c:fmtId val="2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i="0" u="none" strike="noStrike" baseline="0">
                <a:solidFill>
                  <a:schemeClr val="tx1"/>
                </a:solidFill>
                <a:effectLst/>
              </a:rPr>
              <a:t>Salary Status Distribution</a:t>
            </a:r>
            <a:r>
              <a:rPr lang="en-IN" sz="1400" b="0" i="0" u="none" strike="noStrike" baseline="0">
                <a:solidFill>
                  <a:schemeClr val="tx1"/>
                </a:solidFill>
                <a:effectLst/>
              </a:rPr>
              <a:t> </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pieChart>
        <c:varyColors val="1"/>
        <c:ser>
          <c:idx val="0"/>
          <c:order val="0"/>
          <c:tx>
            <c:strRef>
              <c:f>Pivot!$L$3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Pivot!$K$4:$K$7</c:f>
              <c:strCache>
                <c:ptCount val="3"/>
                <c:pt idx="0">
                  <c:v>Good Salary</c:v>
                </c:pt>
                <c:pt idx="1">
                  <c:v>High Salary</c:v>
                </c:pt>
                <c:pt idx="2">
                  <c:v>Low Salary</c:v>
                </c:pt>
              </c:strCache>
            </c:strRef>
          </c:cat>
          <c:val>
            <c:numRef>
              <c:f>Pivot!$L$4:$L$7</c:f>
              <c:numCache>
                <c:formatCode>General</c:formatCode>
                <c:ptCount val="3"/>
                <c:pt idx="0">
                  <c:v>57</c:v>
                </c:pt>
                <c:pt idx="1">
                  <c:v>59</c:v>
                </c:pt>
                <c:pt idx="2">
                  <c:v>24</c:v>
                </c:pt>
              </c:numCache>
            </c:numRef>
          </c:val>
          <c:extLst>
            <c:ext xmlns:c16="http://schemas.microsoft.com/office/drawing/2014/chart" uri="{C3380CC4-5D6E-409C-BE32-E72D297353CC}">
              <c16:uniqueId val="{00000000-194D-420F-9AB9-7DB1E1096E90}"/>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Import.xlsx]Pivot!PivotTable5</c:name>
    <c:fmtId val="31"/>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i="0" u="none" strike="noStrike" baseline="0">
                <a:solidFill>
                  <a:schemeClr val="tx1"/>
                </a:solidFill>
                <a:effectLst/>
              </a:rPr>
              <a:t>Gender Diversity by Department</a:t>
            </a:r>
            <a:r>
              <a:rPr lang="en-IN" sz="1400" b="0" i="0" u="none" strike="noStrike" baseline="0">
                <a:solidFill>
                  <a:schemeClr val="tx1"/>
                </a:solidFill>
                <a:effectLst/>
              </a:rPr>
              <a:t> </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Pivot!$B$30:$B$31</c:f>
              <c:strCache>
                <c:ptCount val="1"/>
                <c:pt idx="0">
                  <c:v>Female</c:v>
                </c:pt>
              </c:strCache>
            </c:strRef>
          </c:tx>
          <c:spPr>
            <a:solidFill>
              <a:schemeClr val="accent1"/>
            </a:solidFill>
            <a:ln>
              <a:noFill/>
            </a:ln>
            <a:effectLst/>
          </c:spPr>
          <c:invertIfNegative val="0"/>
          <c:cat>
            <c:strRef>
              <c:f>Pivot!$A$32:$A$37</c:f>
              <c:strCache>
                <c:ptCount val="5"/>
                <c:pt idx="0">
                  <c:v>Finance</c:v>
                </c:pt>
                <c:pt idx="1">
                  <c:v>HR</c:v>
                </c:pt>
                <c:pt idx="2">
                  <c:v>IT</c:v>
                </c:pt>
                <c:pt idx="3">
                  <c:v>Marketing</c:v>
                </c:pt>
                <c:pt idx="4">
                  <c:v>Sales</c:v>
                </c:pt>
              </c:strCache>
            </c:strRef>
          </c:cat>
          <c:val>
            <c:numRef>
              <c:f>Pivot!$B$32:$B$37</c:f>
              <c:numCache>
                <c:formatCode>General</c:formatCode>
                <c:ptCount val="5"/>
                <c:pt idx="0">
                  <c:v>3</c:v>
                </c:pt>
                <c:pt idx="1">
                  <c:v>4</c:v>
                </c:pt>
                <c:pt idx="2">
                  <c:v>7</c:v>
                </c:pt>
                <c:pt idx="3">
                  <c:v>11</c:v>
                </c:pt>
                <c:pt idx="4">
                  <c:v>8</c:v>
                </c:pt>
              </c:numCache>
            </c:numRef>
          </c:val>
          <c:extLst>
            <c:ext xmlns:c16="http://schemas.microsoft.com/office/drawing/2014/chart" uri="{C3380CC4-5D6E-409C-BE32-E72D297353CC}">
              <c16:uniqueId val="{00000000-86EA-48F3-80E8-CFE95514CA47}"/>
            </c:ext>
          </c:extLst>
        </c:ser>
        <c:ser>
          <c:idx val="1"/>
          <c:order val="1"/>
          <c:tx>
            <c:strRef>
              <c:f>Pivot!$C$30:$C$31</c:f>
              <c:strCache>
                <c:ptCount val="1"/>
                <c:pt idx="0">
                  <c:v>Male</c:v>
                </c:pt>
              </c:strCache>
            </c:strRef>
          </c:tx>
          <c:spPr>
            <a:solidFill>
              <a:schemeClr val="accent2"/>
            </a:solidFill>
            <a:ln>
              <a:noFill/>
            </a:ln>
            <a:effectLst/>
          </c:spPr>
          <c:invertIfNegative val="0"/>
          <c:cat>
            <c:strRef>
              <c:f>Pivot!$A$32:$A$37</c:f>
              <c:strCache>
                <c:ptCount val="5"/>
                <c:pt idx="0">
                  <c:v>Finance</c:v>
                </c:pt>
                <c:pt idx="1">
                  <c:v>HR</c:v>
                </c:pt>
                <c:pt idx="2">
                  <c:v>IT</c:v>
                </c:pt>
                <c:pt idx="3">
                  <c:v>Marketing</c:v>
                </c:pt>
                <c:pt idx="4">
                  <c:v>Sales</c:v>
                </c:pt>
              </c:strCache>
            </c:strRef>
          </c:cat>
          <c:val>
            <c:numRef>
              <c:f>Pivot!$C$32:$C$37</c:f>
              <c:numCache>
                <c:formatCode>General</c:formatCode>
                <c:ptCount val="5"/>
                <c:pt idx="0">
                  <c:v>2</c:v>
                </c:pt>
                <c:pt idx="1">
                  <c:v>6</c:v>
                </c:pt>
                <c:pt idx="2">
                  <c:v>9</c:v>
                </c:pt>
                <c:pt idx="3">
                  <c:v>8</c:v>
                </c:pt>
                <c:pt idx="4">
                  <c:v>7</c:v>
                </c:pt>
              </c:numCache>
            </c:numRef>
          </c:val>
          <c:extLst>
            <c:ext xmlns:c16="http://schemas.microsoft.com/office/drawing/2014/chart" uri="{C3380CC4-5D6E-409C-BE32-E72D297353CC}">
              <c16:uniqueId val="{00000001-86EA-48F3-80E8-CFE95514CA47}"/>
            </c:ext>
          </c:extLst>
        </c:ser>
        <c:ser>
          <c:idx val="2"/>
          <c:order val="2"/>
          <c:tx>
            <c:strRef>
              <c:f>Pivot!$D$30:$D$31</c:f>
              <c:strCache>
                <c:ptCount val="1"/>
                <c:pt idx="0">
                  <c:v>Not Specified</c:v>
                </c:pt>
              </c:strCache>
            </c:strRef>
          </c:tx>
          <c:spPr>
            <a:solidFill>
              <a:schemeClr val="accent3"/>
            </a:solidFill>
            <a:ln>
              <a:noFill/>
            </a:ln>
            <a:effectLst/>
          </c:spPr>
          <c:invertIfNegative val="0"/>
          <c:cat>
            <c:strRef>
              <c:f>Pivot!$A$32:$A$37</c:f>
              <c:strCache>
                <c:ptCount val="5"/>
                <c:pt idx="0">
                  <c:v>Finance</c:v>
                </c:pt>
                <c:pt idx="1">
                  <c:v>HR</c:v>
                </c:pt>
                <c:pt idx="2">
                  <c:v>IT</c:v>
                </c:pt>
                <c:pt idx="3">
                  <c:v>Marketing</c:v>
                </c:pt>
                <c:pt idx="4">
                  <c:v>Sales</c:v>
                </c:pt>
              </c:strCache>
            </c:strRef>
          </c:cat>
          <c:val>
            <c:numRef>
              <c:f>Pivot!$D$32:$D$37</c:f>
              <c:numCache>
                <c:formatCode>General</c:formatCode>
                <c:ptCount val="5"/>
                <c:pt idx="0">
                  <c:v>9</c:v>
                </c:pt>
                <c:pt idx="1">
                  <c:v>6</c:v>
                </c:pt>
                <c:pt idx="2">
                  <c:v>4</c:v>
                </c:pt>
                <c:pt idx="3">
                  <c:v>18</c:v>
                </c:pt>
                <c:pt idx="4">
                  <c:v>7</c:v>
                </c:pt>
              </c:numCache>
            </c:numRef>
          </c:val>
          <c:extLst>
            <c:ext xmlns:c16="http://schemas.microsoft.com/office/drawing/2014/chart" uri="{C3380CC4-5D6E-409C-BE32-E72D297353CC}">
              <c16:uniqueId val="{00000002-86EA-48F3-80E8-CFE95514CA47}"/>
            </c:ext>
          </c:extLst>
        </c:ser>
        <c:ser>
          <c:idx val="3"/>
          <c:order val="3"/>
          <c:tx>
            <c:strRef>
              <c:f>Pivot!$E$30:$E$31</c:f>
              <c:strCache>
                <c:ptCount val="1"/>
                <c:pt idx="0">
                  <c:v>Other</c:v>
                </c:pt>
              </c:strCache>
            </c:strRef>
          </c:tx>
          <c:spPr>
            <a:solidFill>
              <a:schemeClr val="accent4"/>
            </a:solidFill>
            <a:ln>
              <a:noFill/>
            </a:ln>
            <a:effectLst/>
          </c:spPr>
          <c:invertIfNegative val="0"/>
          <c:cat>
            <c:strRef>
              <c:f>Pivot!$A$32:$A$37</c:f>
              <c:strCache>
                <c:ptCount val="5"/>
                <c:pt idx="0">
                  <c:v>Finance</c:v>
                </c:pt>
                <c:pt idx="1">
                  <c:v>HR</c:v>
                </c:pt>
                <c:pt idx="2">
                  <c:v>IT</c:v>
                </c:pt>
                <c:pt idx="3">
                  <c:v>Marketing</c:v>
                </c:pt>
                <c:pt idx="4">
                  <c:v>Sales</c:v>
                </c:pt>
              </c:strCache>
            </c:strRef>
          </c:cat>
          <c:val>
            <c:numRef>
              <c:f>Pivot!$E$32:$E$37</c:f>
              <c:numCache>
                <c:formatCode>General</c:formatCode>
                <c:ptCount val="5"/>
                <c:pt idx="0">
                  <c:v>7</c:v>
                </c:pt>
                <c:pt idx="1">
                  <c:v>6</c:v>
                </c:pt>
                <c:pt idx="2">
                  <c:v>2</c:v>
                </c:pt>
                <c:pt idx="3">
                  <c:v>13</c:v>
                </c:pt>
                <c:pt idx="4">
                  <c:v>3</c:v>
                </c:pt>
              </c:numCache>
            </c:numRef>
          </c:val>
          <c:extLst>
            <c:ext xmlns:c16="http://schemas.microsoft.com/office/drawing/2014/chart" uri="{C3380CC4-5D6E-409C-BE32-E72D297353CC}">
              <c16:uniqueId val="{00000003-86EA-48F3-80E8-CFE95514CA47}"/>
            </c:ext>
          </c:extLst>
        </c:ser>
        <c:dLbls>
          <c:showLegendKey val="0"/>
          <c:showVal val="0"/>
          <c:showCatName val="0"/>
          <c:showSerName val="0"/>
          <c:showPercent val="0"/>
          <c:showBubbleSize val="0"/>
        </c:dLbls>
        <c:gapWidth val="150"/>
        <c:overlap val="100"/>
        <c:axId val="1032579936"/>
        <c:axId val="1032574176"/>
      </c:barChart>
      <c:catAx>
        <c:axId val="1032579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574176"/>
        <c:crosses val="autoZero"/>
        <c:auto val="1"/>
        <c:lblAlgn val="ctr"/>
        <c:lblOffset val="100"/>
        <c:noMultiLvlLbl val="0"/>
      </c:catAx>
      <c:valAx>
        <c:axId val="103257417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No.</a:t>
                </a:r>
                <a:r>
                  <a:rPr lang="en-IN" baseline="0">
                    <a:solidFill>
                      <a:schemeClr val="tx1"/>
                    </a:solidFill>
                  </a:rPr>
                  <a:t> Of Employees</a:t>
                </a:r>
                <a:endParaRPr lang="en-IN">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32579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Import.xlsx]Pivot!PivotTable6</c:name>
    <c:fmtId val="3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i="0" u="none" strike="noStrike" baseline="0">
                <a:solidFill>
                  <a:schemeClr val="tx1"/>
                </a:solidFill>
                <a:effectLst/>
              </a:rPr>
              <a:t>Department-wise Performance vs Avg Salary</a:t>
            </a:r>
            <a:r>
              <a:rPr lang="en-IN" sz="1400" b="0" i="0" u="none" strike="noStrike" baseline="0">
                <a:solidFill>
                  <a:schemeClr val="tx1"/>
                </a:solidFill>
                <a:effectLst/>
              </a:rPr>
              <a:t> </a:t>
            </a:r>
            <a:r>
              <a:rPr lang="en-IN">
                <a:solidFill>
                  <a:schemeClr val="tx1"/>
                </a:solidFill>
              </a:rPr>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Pivot!$I$30</c:f>
              <c:strCache>
                <c:ptCount val="1"/>
                <c:pt idx="0">
                  <c:v>Average of Salary</c:v>
                </c:pt>
              </c:strCache>
            </c:strRef>
          </c:tx>
          <c:spPr>
            <a:solidFill>
              <a:schemeClr val="accent1"/>
            </a:solidFill>
            <a:ln>
              <a:noFill/>
            </a:ln>
            <a:effectLst/>
          </c:spPr>
          <c:invertIfNegative val="0"/>
          <c:cat>
            <c:strRef>
              <c:f>Pivot!$H$31:$H$36</c:f>
              <c:strCache>
                <c:ptCount val="5"/>
                <c:pt idx="0">
                  <c:v>Finance</c:v>
                </c:pt>
                <c:pt idx="1">
                  <c:v>HR</c:v>
                </c:pt>
                <c:pt idx="2">
                  <c:v>IT</c:v>
                </c:pt>
                <c:pt idx="3">
                  <c:v>Marketing</c:v>
                </c:pt>
                <c:pt idx="4">
                  <c:v>Sales</c:v>
                </c:pt>
              </c:strCache>
            </c:strRef>
          </c:cat>
          <c:val>
            <c:numRef>
              <c:f>Pivot!$I$31:$I$36</c:f>
              <c:numCache>
                <c:formatCode>#,##0.00</c:formatCode>
                <c:ptCount val="5"/>
                <c:pt idx="0">
                  <c:v>65617.761904761908</c:v>
                </c:pt>
                <c:pt idx="1">
                  <c:v>67234.181818181823</c:v>
                </c:pt>
                <c:pt idx="2">
                  <c:v>66184.409090909088</c:v>
                </c:pt>
                <c:pt idx="3">
                  <c:v>64847.26</c:v>
                </c:pt>
                <c:pt idx="4">
                  <c:v>66718.679999999993</c:v>
                </c:pt>
              </c:numCache>
            </c:numRef>
          </c:val>
          <c:extLst>
            <c:ext xmlns:c16="http://schemas.microsoft.com/office/drawing/2014/chart" uri="{C3380CC4-5D6E-409C-BE32-E72D297353CC}">
              <c16:uniqueId val="{00000000-6B44-4529-8856-3DD96F3FFCFF}"/>
            </c:ext>
          </c:extLst>
        </c:ser>
        <c:dLbls>
          <c:showLegendKey val="0"/>
          <c:showVal val="0"/>
          <c:showCatName val="0"/>
          <c:showSerName val="0"/>
          <c:showPercent val="0"/>
          <c:showBubbleSize val="0"/>
        </c:dLbls>
        <c:gapWidth val="219"/>
        <c:overlap val="-27"/>
        <c:axId val="1670004352"/>
        <c:axId val="1670000992"/>
      </c:barChart>
      <c:lineChart>
        <c:grouping val="standard"/>
        <c:varyColors val="0"/>
        <c:ser>
          <c:idx val="1"/>
          <c:order val="1"/>
          <c:tx>
            <c:strRef>
              <c:f>Pivot!$J$30</c:f>
              <c:strCache>
                <c:ptCount val="1"/>
                <c:pt idx="0">
                  <c:v>Average of Performance Rating</c:v>
                </c:pt>
              </c:strCache>
            </c:strRef>
          </c:tx>
          <c:spPr>
            <a:ln w="28575" cap="rnd">
              <a:solidFill>
                <a:schemeClr val="accent2"/>
              </a:solidFill>
              <a:round/>
            </a:ln>
            <a:effectLst/>
          </c:spPr>
          <c:marker>
            <c:symbol val="none"/>
          </c:marker>
          <c:cat>
            <c:strRef>
              <c:f>Pivot!$H$31:$H$36</c:f>
              <c:strCache>
                <c:ptCount val="5"/>
                <c:pt idx="0">
                  <c:v>Finance</c:v>
                </c:pt>
                <c:pt idx="1">
                  <c:v>HR</c:v>
                </c:pt>
                <c:pt idx="2">
                  <c:v>IT</c:v>
                </c:pt>
                <c:pt idx="3">
                  <c:v>Marketing</c:v>
                </c:pt>
                <c:pt idx="4">
                  <c:v>Sales</c:v>
                </c:pt>
              </c:strCache>
            </c:strRef>
          </c:cat>
          <c:val>
            <c:numRef>
              <c:f>Pivot!$J$31:$J$36</c:f>
              <c:numCache>
                <c:formatCode>0.00</c:formatCode>
                <c:ptCount val="5"/>
                <c:pt idx="0">
                  <c:v>2.6666666666666665</c:v>
                </c:pt>
                <c:pt idx="1">
                  <c:v>2.7272727272727271</c:v>
                </c:pt>
                <c:pt idx="2">
                  <c:v>2.8636363636363638</c:v>
                </c:pt>
                <c:pt idx="3">
                  <c:v>3.1</c:v>
                </c:pt>
                <c:pt idx="4">
                  <c:v>2.84</c:v>
                </c:pt>
              </c:numCache>
            </c:numRef>
          </c:val>
          <c:smooth val="0"/>
          <c:extLst>
            <c:ext xmlns:c16="http://schemas.microsoft.com/office/drawing/2014/chart" uri="{C3380CC4-5D6E-409C-BE32-E72D297353CC}">
              <c16:uniqueId val="{00000001-6B44-4529-8856-3DD96F3FFCFF}"/>
            </c:ext>
          </c:extLst>
        </c:ser>
        <c:dLbls>
          <c:showLegendKey val="0"/>
          <c:showVal val="0"/>
          <c:showCatName val="0"/>
          <c:showSerName val="0"/>
          <c:showPercent val="0"/>
          <c:showBubbleSize val="0"/>
        </c:dLbls>
        <c:marker val="1"/>
        <c:smooth val="0"/>
        <c:axId val="1670004352"/>
        <c:axId val="1670000992"/>
      </c:lineChart>
      <c:catAx>
        <c:axId val="1670004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a:solidFill>
                      <a:schemeClr val="tx1"/>
                    </a:solidFill>
                  </a:rPr>
                  <a:t>Department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000992"/>
        <c:crosses val="autoZero"/>
        <c:auto val="1"/>
        <c:lblAlgn val="ctr"/>
        <c:lblOffset val="100"/>
        <c:noMultiLvlLbl val="0"/>
      </c:catAx>
      <c:valAx>
        <c:axId val="167000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r>
                  <a:rPr lang="en-IN" baseline="0">
                    <a:solidFill>
                      <a:schemeClr val="tx1"/>
                    </a:solidFill>
                  </a:rPr>
                  <a:t> Avergae Salary &amp; Performance Rating</a:t>
                </a:r>
                <a:endParaRPr lang="en-IN">
                  <a:solidFill>
                    <a:schemeClr val="tx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0004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[Employee_Details Import.xlsx]Pivot!PivotTable10</c:name>
    <c:fmtId val="2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400" b="1" i="0" u="none" strike="noStrike" baseline="0">
                <a:solidFill>
                  <a:schemeClr val="tx1"/>
                </a:solidFill>
                <a:effectLst/>
              </a:rPr>
              <a:t>Department-wise Average Employee Tenure</a:t>
            </a:r>
            <a:r>
              <a:rPr lang="en-IN" sz="1400" b="0" i="0" u="none" strike="noStrike" baseline="0">
                <a:solidFill>
                  <a:schemeClr val="tx1"/>
                </a:solidFill>
                <a:effectLst/>
              </a:rPr>
              <a:t> </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2"/>
          </a:solidFill>
          <a:ln w="19050">
            <a:solidFill>
              <a:schemeClr val="lt1"/>
            </a:solidFill>
          </a:ln>
          <a:effectLst/>
        </c:spPr>
        <c:dLbl>
          <c:idx val="0"/>
          <c:layout>
            <c:manualLayout>
              <c:x val="8.611111111111111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0.1111111111111111"/>
              <c:y val="-2.7777777777777776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solidFill>
          <a:ln w="19050">
            <a:solidFill>
              <a:schemeClr val="lt1"/>
            </a:solidFill>
          </a:ln>
          <a:effectLst/>
        </c:spPr>
        <c:dLbl>
          <c:idx val="0"/>
          <c:layout>
            <c:manualLayout>
              <c:x val="-6.6666666666666666E-2"/>
              <c:y val="-6.9444444444444448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4"/>
          </a:solidFill>
          <a:ln w="19050">
            <a:solidFill>
              <a:schemeClr val="lt1"/>
            </a:solidFill>
          </a:ln>
          <a:effectLst/>
        </c:spPr>
        <c:dLbl>
          <c:idx val="0"/>
          <c:layout>
            <c:manualLayout>
              <c:x val="-7.2222222222222215E-2"/>
              <c:y val="8.333333333333324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3"/>
          </a:solidFill>
          <a:ln w="19050">
            <a:solidFill>
              <a:schemeClr val="lt1"/>
            </a:solidFill>
          </a:ln>
          <a:effectLst/>
        </c:spPr>
        <c:dLbl>
          <c:idx val="0"/>
          <c:layout>
            <c:manualLayout>
              <c:x val="0.11388888888888889"/>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Pivot!$K$57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CA51-4A4F-A55B-8732861DE7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CA51-4A4F-A55B-8732861DE7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6-CA51-4A4F-A55B-8732861DE78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5-CA51-4A4F-A55B-8732861DE78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4-CA51-4A4F-A55B-8732861DE78F}"/>
              </c:ext>
            </c:extLst>
          </c:dPt>
          <c:dLbls>
            <c:dLbl>
              <c:idx val="0"/>
              <c:layout>
                <c:manualLayout>
                  <c:x val="0.1111111111111111"/>
                  <c:y val="-2.7777777777777776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A51-4A4F-A55B-8732861DE78F}"/>
                </c:ext>
              </c:extLst>
            </c:dLbl>
            <c:dLbl>
              <c:idx val="1"/>
              <c:layout>
                <c:manualLayout>
                  <c:x val="8.611111111111111E-2"/>
                  <c:y val="0"/>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A51-4A4F-A55B-8732861DE78F}"/>
                </c:ext>
              </c:extLst>
            </c:dLbl>
            <c:dLbl>
              <c:idx val="2"/>
              <c:layout>
                <c:manualLayout>
                  <c:x val="0.11388888888888889"/>
                  <c:y val="8.796296296296296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CA51-4A4F-A55B-8732861DE78F}"/>
                </c:ext>
              </c:extLst>
            </c:dLbl>
            <c:dLbl>
              <c:idx val="3"/>
              <c:layout>
                <c:manualLayout>
                  <c:x val="-7.2222222222222215E-2"/>
                  <c:y val="8.3333333333333245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A51-4A4F-A55B-8732861DE78F}"/>
                </c:ext>
              </c:extLst>
            </c:dLbl>
            <c:dLbl>
              <c:idx val="4"/>
              <c:layout>
                <c:manualLayout>
                  <c:x val="-6.6666666666666666E-2"/>
                  <c:y val="-6.9444444444444448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CA51-4A4F-A55B-8732861DE78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Pivot!$J$58:$J$63</c:f>
              <c:strCache>
                <c:ptCount val="5"/>
                <c:pt idx="0">
                  <c:v>Finance</c:v>
                </c:pt>
                <c:pt idx="1">
                  <c:v>HR</c:v>
                </c:pt>
                <c:pt idx="2">
                  <c:v>IT</c:v>
                </c:pt>
                <c:pt idx="3">
                  <c:v>Marketing</c:v>
                </c:pt>
                <c:pt idx="4">
                  <c:v>Sales</c:v>
                </c:pt>
              </c:strCache>
            </c:strRef>
          </c:cat>
          <c:val>
            <c:numRef>
              <c:f>Pivot!$K$58:$K$63</c:f>
              <c:numCache>
                <c:formatCode>0</c:formatCode>
                <c:ptCount val="5"/>
                <c:pt idx="0">
                  <c:v>3713.6666666666665</c:v>
                </c:pt>
                <c:pt idx="1">
                  <c:v>3708.7727272727275</c:v>
                </c:pt>
                <c:pt idx="2">
                  <c:v>3639.7272727272725</c:v>
                </c:pt>
                <c:pt idx="3">
                  <c:v>3576.04</c:v>
                </c:pt>
                <c:pt idx="4">
                  <c:v>3573</c:v>
                </c:pt>
              </c:numCache>
            </c:numRef>
          </c:val>
          <c:extLst>
            <c:ext xmlns:c16="http://schemas.microsoft.com/office/drawing/2014/chart" uri="{C3380CC4-5D6E-409C-BE32-E72D297353CC}">
              <c16:uniqueId val="{00000000-CA51-4A4F-A55B-8732861DE78F}"/>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8">
  <a:schemeClr val="accent5"/>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47624</xdr:colOff>
      <xdr:row>2</xdr:row>
      <xdr:rowOff>57150</xdr:rowOff>
    </xdr:from>
    <xdr:to>
      <xdr:col>4</xdr:col>
      <xdr:colOff>209549</xdr:colOff>
      <xdr:row>5</xdr:row>
      <xdr:rowOff>114300</xdr:rowOff>
    </xdr:to>
    <xdr:sp macro="" textlink="">
      <xdr:nvSpPr>
        <xdr:cNvPr id="2" name="Rectangle 1">
          <a:extLst>
            <a:ext uri="{FF2B5EF4-FFF2-40B4-BE49-F238E27FC236}">
              <a16:creationId xmlns:a16="http://schemas.microsoft.com/office/drawing/2014/main" id="{5BE5B25E-8C36-8F90-EC36-A45CF43E3B80}"/>
            </a:ext>
          </a:extLst>
        </xdr:cNvPr>
        <xdr:cNvSpPr/>
      </xdr:nvSpPr>
      <xdr:spPr>
        <a:xfrm>
          <a:off x="1266824" y="438150"/>
          <a:ext cx="1381125" cy="628650"/>
        </a:xfrm>
        <a:prstGeom prst="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Total Employees</a:t>
          </a:r>
        </a:p>
        <a:p>
          <a:pPr algn="ctr"/>
          <a:r>
            <a:rPr lang="en-IN" sz="1100" b="1">
              <a:solidFill>
                <a:schemeClr val="tx1"/>
              </a:solidFill>
            </a:rPr>
            <a:t>141</a:t>
          </a:r>
        </a:p>
      </xdr:txBody>
    </xdr:sp>
    <xdr:clientData/>
  </xdr:twoCellAnchor>
  <xdr:twoCellAnchor>
    <xdr:from>
      <xdr:col>5</xdr:col>
      <xdr:colOff>9525</xdr:colOff>
      <xdr:row>2</xdr:row>
      <xdr:rowOff>66675</xdr:rowOff>
    </xdr:from>
    <xdr:to>
      <xdr:col>7</xdr:col>
      <xdr:colOff>171450</xdr:colOff>
      <xdr:row>5</xdr:row>
      <xdr:rowOff>123825</xdr:rowOff>
    </xdr:to>
    <xdr:sp macro="" textlink="">
      <xdr:nvSpPr>
        <xdr:cNvPr id="3" name="Rectangle 2">
          <a:extLst>
            <a:ext uri="{FF2B5EF4-FFF2-40B4-BE49-F238E27FC236}">
              <a16:creationId xmlns:a16="http://schemas.microsoft.com/office/drawing/2014/main" id="{08562696-31F0-4760-8FFD-E12545DADE64}"/>
            </a:ext>
          </a:extLst>
        </xdr:cNvPr>
        <xdr:cNvSpPr/>
      </xdr:nvSpPr>
      <xdr:spPr>
        <a:xfrm>
          <a:off x="3057525" y="447675"/>
          <a:ext cx="1381125" cy="628650"/>
        </a:xfrm>
        <a:prstGeom prst="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Avergae Salary</a:t>
          </a:r>
        </a:p>
        <a:p>
          <a:pPr algn="ctr"/>
          <a:r>
            <a:rPr lang="en-IN" sz="1100" b="1" i="0" u="none" strike="noStrike">
              <a:solidFill>
                <a:schemeClr val="tx1"/>
              </a:solidFill>
              <a:effectLst/>
              <a:latin typeface="+mn-lt"/>
              <a:ea typeface="+mn-ea"/>
              <a:cs typeface="+mn-cs"/>
            </a:rPr>
            <a:t>₹ 65,882.23</a:t>
          </a:r>
          <a:r>
            <a:rPr lang="en-IN" b="1">
              <a:solidFill>
                <a:schemeClr val="tx1"/>
              </a:solidFill>
              <a:effectLst/>
            </a:rPr>
            <a:t> </a:t>
          </a:r>
          <a:endParaRPr lang="en-IN" sz="1100" b="1">
            <a:solidFill>
              <a:schemeClr val="tx1"/>
            </a:solidFill>
          </a:endParaRPr>
        </a:p>
      </xdr:txBody>
    </xdr:sp>
    <xdr:clientData/>
  </xdr:twoCellAnchor>
  <xdr:twoCellAnchor>
    <xdr:from>
      <xdr:col>8</xdr:col>
      <xdr:colOff>28575</xdr:colOff>
      <xdr:row>2</xdr:row>
      <xdr:rowOff>57150</xdr:rowOff>
    </xdr:from>
    <xdr:to>
      <xdr:col>10</xdr:col>
      <xdr:colOff>190500</xdr:colOff>
      <xdr:row>5</xdr:row>
      <xdr:rowOff>114300</xdr:rowOff>
    </xdr:to>
    <xdr:sp macro="" textlink="">
      <xdr:nvSpPr>
        <xdr:cNvPr id="4" name="Rectangle 3">
          <a:extLst>
            <a:ext uri="{FF2B5EF4-FFF2-40B4-BE49-F238E27FC236}">
              <a16:creationId xmlns:a16="http://schemas.microsoft.com/office/drawing/2014/main" id="{7A77A493-C689-41D7-8276-D13854CC0573}"/>
            </a:ext>
          </a:extLst>
        </xdr:cNvPr>
        <xdr:cNvSpPr/>
      </xdr:nvSpPr>
      <xdr:spPr>
        <a:xfrm>
          <a:off x="4905375" y="438150"/>
          <a:ext cx="1381125" cy="628650"/>
        </a:xfrm>
        <a:prstGeom prst="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Total Salary  </a:t>
          </a:r>
        </a:p>
        <a:p>
          <a:pPr algn="ctr"/>
          <a:r>
            <a:rPr lang="en-IN" sz="1100" b="1" i="0" u="none" strike="noStrike">
              <a:solidFill>
                <a:schemeClr val="tx1"/>
              </a:solidFill>
              <a:effectLst/>
              <a:latin typeface="+mn-lt"/>
              <a:ea typeface="+mn-ea"/>
              <a:cs typeface="+mn-cs"/>
            </a:rPr>
            <a:t>₹ 92,23,512.00</a:t>
          </a:r>
          <a:r>
            <a:rPr lang="en-IN" b="1">
              <a:solidFill>
                <a:schemeClr val="tx1"/>
              </a:solidFill>
              <a:effectLst/>
            </a:rPr>
            <a:t> </a:t>
          </a:r>
          <a:endParaRPr lang="en-IN" sz="1100" b="1">
            <a:solidFill>
              <a:schemeClr val="tx1"/>
            </a:solidFill>
          </a:endParaRPr>
        </a:p>
      </xdr:txBody>
    </xdr:sp>
    <xdr:clientData/>
  </xdr:twoCellAnchor>
  <xdr:twoCellAnchor>
    <xdr:from>
      <xdr:col>11</xdr:col>
      <xdr:colOff>95250</xdr:colOff>
      <xdr:row>2</xdr:row>
      <xdr:rowOff>57150</xdr:rowOff>
    </xdr:from>
    <xdr:to>
      <xdr:col>13</xdr:col>
      <xdr:colOff>257175</xdr:colOff>
      <xdr:row>5</xdr:row>
      <xdr:rowOff>114300</xdr:rowOff>
    </xdr:to>
    <xdr:sp macro="" textlink="">
      <xdr:nvSpPr>
        <xdr:cNvPr id="5" name="Rectangle 4">
          <a:extLst>
            <a:ext uri="{FF2B5EF4-FFF2-40B4-BE49-F238E27FC236}">
              <a16:creationId xmlns:a16="http://schemas.microsoft.com/office/drawing/2014/main" id="{41BCD3A7-4379-4FED-8981-F63C6D1BD305}"/>
            </a:ext>
          </a:extLst>
        </xdr:cNvPr>
        <xdr:cNvSpPr/>
      </xdr:nvSpPr>
      <xdr:spPr>
        <a:xfrm>
          <a:off x="6800850" y="438150"/>
          <a:ext cx="1381125" cy="628650"/>
        </a:xfrm>
        <a:prstGeom prst="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Highest Salary </a:t>
          </a:r>
        </a:p>
        <a:p>
          <a:pPr algn="ctr"/>
          <a:r>
            <a:rPr lang="en-IN" sz="1100" b="1" i="0">
              <a:solidFill>
                <a:schemeClr val="tx1"/>
              </a:solidFill>
              <a:effectLst/>
              <a:latin typeface="+mn-lt"/>
              <a:ea typeface="+mn-ea"/>
              <a:cs typeface="+mn-cs"/>
            </a:rPr>
            <a:t>₹ 99,621.00</a:t>
          </a:r>
          <a:r>
            <a:rPr lang="en-IN" sz="1100" b="1">
              <a:solidFill>
                <a:schemeClr val="tx1"/>
              </a:solidFill>
              <a:effectLst/>
              <a:latin typeface="+mn-lt"/>
              <a:ea typeface="+mn-ea"/>
              <a:cs typeface="+mn-cs"/>
            </a:rPr>
            <a:t> </a:t>
          </a:r>
          <a:endParaRPr lang="en-IN" sz="1100" b="1">
            <a:solidFill>
              <a:schemeClr val="tx1"/>
            </a:solidFill>
          </a:endParaRPr>
        </a:p>
      </xdr:txBody>
    </xdr:sp>
    <xdr:clientData/>
  </xdr:twoCellAnchor>
  <xdr:twoCellAnchor>
    <xdr:from>
      <xdr:col>14</xdr:col>
      <xdr:colOff>238125</xdr:colOff>
      <xdr:row>2</xdr:row>
      <xdr:rowOff>47625</xdr:rowOff>
    </xdr:from>
    <xdr:to>
      <xdr:col>16</xdr:col>
      <xdr:colOff>400050</xdr:colOff>
      <xdr:row>5</xdr:row>
      <xdr:rowOff>104775</xdr:rowOff>
    </xdr:to>
    <xdr:sp macro="" textlink="">
      <xdr:nvSpPr>
        <xdr:cNvPr id="6" name="Rectangle 5">
          <a:extLst>
            <a:ext uri="{FF2B5EF4-FFF2-40B4-BE49-F238E27FC236}">
              <a16:creationId xmlns:a16="http://schemas.microsoft.com/office/drawing/2014/main" id="{75059DDD-81C4-48B2-97EC-9356592CDC98}"/>
            </a:ext>
          </a:extLst>
        </xdr:cNvPr>
        <xdr:cNvSpPr/>
      </xdr:nvSpPr>
      <xdr:spPr>
        <a:xfrm>
          <a:off x="8772525" y="428625"/>
          <a:ext cx="1381125" cy="628650"/>
        </a:xfrm>
        <a:prstGeom prst="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Average</a:t>
          </a:r>
          <a:r>
            <a:rPr lang="en-IN" sz="1100" b="1" baseline="0">
              <a:solidFill>
                <a:schemeClr val="tx1"/>
              </a:solidFill>
            </a:rPr>
            <a:t> Performance Rating 2.89</a:t>
          </a:r>
          <a:endParaRPr lang="en-IN" sz="1100" b="1">
            <a:solidFill>
              <a:schemeClr val="tx1"/>
            </a:solidFill>
          </a:endParaRPr>
        </a:p>
      </xdr:txBody>
    </xdr:sp>
    <xdr:clientData/>
  </xdr:twoCellAnchor>
  <xdr:twoCellAnchor>
    <xdr:from>
      <xdr:col>1</xdr:col>
      <xdr:colOff>600075</xdr:colOff>
      <xdr:row>5</xdr:row>
      <xdr:rowOff>180975</xdr:rowOff>
    </xdr:from>
    <xdr:to>
      <xdr:col>7</xdr:col>
      <xdr:colOff>371475</xdr:colOff>
      <xdr:row>20</xdr:row>
      <xdr:rowOff>66675</xdr:rowOff>
    </xdr:to>
    <xdr:graphicFrame macro="">
      <xdr:nvGraphicFramePr>
        <xdr:cNvPr id="7" name="Chart 6">
          <a:extLst>
            <a:ext uri="{FF2B5EF4-FFF2-40B4-BE49-F238E27FC236}">
              <a16:creationId xmlns:a16="http://schemas.microsoft.com/office/drawing/2014/main" id="{D7EE1DEA-A8A5-46AE-8FCB-18CC458931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400050</xdr:colOff>
      <xdr:row>5</xdr:row>
      <xdr:rowOff>180975</xdr:rowOff>
    </xdr:from>
    <xdr:to>
      <xdr:col>16</xdr:col>
      <xdr:colOff>352425</xdr:colOff>
      <xdr:row>20</xdr:row>
      <xdr:rowOff>61913</xdr:rowOff>
    </xdr:to>
    <xdr:graphicFrame macro="">
      <xdr:nvGraphicFramePr>
        <xdr:cNvPr id="8" name="Chart 7">
          <a:extLst>
            <a:ext uri="{FF2B5EF4-FFF2-40B4-BE49-F238E27FC236}">
              <a16:creationId xmlns:a16="http://schemas.microsoft.com/office/drawing/2014/main" id="{A9EE7BA2-6087-4E82-B84B-FCFB5E190F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390524</xdr:colOff>
      <xdr:row>6</xdr:row>
      <xdr:rowOff>1</xdr:rowOff>
    </xdr:from>
    <xdr:to>
      <xdr:col>22</xdr:col>
      <xdr:colOff>590549</xdr:colOff>
      <xdr:row>20</xdr:row>
      <xdr:rowOff>66675</xdr:rowOff>
    </xdr:to>
    <xdr:graphicFrame macro="">
      <xdr:nvGraphicFramePr>
        <xdr:cNvPr id="9" name="Chart 8">
          <a:extLst>
            <a:ext uri="{FF2B5EF4-FFF2-40B4-BE49-F238E27FC236}">
              <a16:creationId xmlns:a16="http://schemas.microsoft.com/office/drawing/2014/main" id="{A8CA688D-7207-42E9-A7B8-6DEB12D9EF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581025</xdr:colOff>
      <xdr:row>20</xdr:row>
      <xdr:rowOff>104775</xdr:rowOff>
    </xdr:from>
    <xdr:to>
      <xdr:col>9</xdr:col>
      <xdr:colOff>47625</xdr:colOff>
      <xdr:row>34</xdr:row>
      <xdr:rowOff>180975</xdr:rowOff>
    </xdr:to>
    <xdr:graphicFrame macro="">
      <xdr:nvGraphicFramePr>
        <xdr:cNvPr id="10" name="Chart 9">
          <a:extLst>
            <a:ext uri="{FF2B5EF4-FFF2-40B4-BE49-F238E27FC236}">
              <a16:creationId xmlns:a16="http://schemas.microsoft.com/office/drawing/2014/main" id="{11789C17-F301-4E74-B286-650C6BC5E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85725</xdr:colOff>
      <xdr:row>20</xdr:row>
      <xdr:rowOff>104775</xdr:rowOff>
    </xdr:from>
    <xdr:to>
      <xdr:col>17</xdr:col>
      <xdr:colOff>266701</xdr:colOff>
      <xdr:row>34</xdr:row>
      <xdr:rowOff>180975</xdr:rowOff>
    </xdr:to>
    <xdr:graphicFrame macro="">
      <xdr:nvGraphicFramePr>
        <xdr:cNvPr id="11" name="Chart 10">
          <a:extLst>
            <a:ext uri="{FF2B5EF4-FFF2-40B4-BE49-F238E27FC236}">
              <a16:creationId xmlns:a16="http://schemas.microsoft.com/office/drawing/2014/main" id="{BBEFAAD2-09DE-468D-94CE-A36B4996E1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295275</xdr:colOff>
      <xdr:row>20</xdr:row>
      <xdr:rowOff>114300</xdr:rowOff>
    </xdr:from>
    <xdr:to>
      <xdr:col>22</xdr:col>
      <xdr:colOff>590550</xdr:colOff>
      <xdr:row>34</xdr:row>
      <xdr:rowOff>171450</xdr:rowOff>
    </xdr:to>
    <xdr:graphicFrame macro="">
      <xdr:nvGraphicFramePr>
        <xdr:cNvPr id="12" name="Chart 11">
          <a:extLst>
            <a:ext uri="{FF2B5EF4-FFF2-40B4-BE49-F238E27FC236}">
              <a16:creationId xmlns:a16="http://schemas.microsoft.com/office/drawing/2014/main" id="{128832D3-A559-4B48-A3EE-83443CBB01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6</xdr:row>
      <xdr:rowOff>0</xdr:rowOff>
    </xdr:from>
    <xdr:to>
      <xdr:col>1</xdr:col>
      <xdr:colOff>561974</xdr:colOff>
      <xdr:row>18</xdr:row>
      <xdr:rowOff>19050</xdr:rowOff>
    </xdr:to>
    <mc:AlternateContent xmlns:mc="http://schemas.openxmlformats.org/markup-compatibility/2006">
      <mc:Choice xmlns:a14="http://schemas.microsoft.com/office/drawing/2010/main" Requires="a14">
        <xdr:graphicFrame macro="">
          <xdr:nvGraphicFramePr>
            <xdr:cNvPr id="13" name="Department">
              <a:extLst>
                <a:ext uri="{FF2B5EF4-FFF2-40B4-BE49-F238E27FC236}">
                  <a16:creationId xmlns:a16="http://schemas.microsoft.com/office/drawing/2014/main" id="{74B7C02C-A82E-09D6-2CCE-69F12A328477}"/>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0" y="1143000"/>
              <a:ext cx="1171574" cy="2305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9526</xdr:colOff>
      <xdr:row>18</xdr:row>
      <xdr:rowOff>47625</xdr:rowOff>
    </xdr:from>
    <xdr:to>
      <xdr:col>1</xdr:col>
      <xdr:colOff>542926</xdr:colOff>
      <xdr:row>30</xdr:row>
      <xdr:rowOff>66675</xdr:rowOff>
    </xdr:to>
    <mc:AlternateContent xmlns:mc="http://schemas.openxmlformats.org/markup-compatibility/2006">
      <mc:Choice xmlns:a14="http://schemas.microsoft.com/office/drawing/2010/main" Requires="a14">
        <xdr:graphicFrame macro="">
          <xdr:nvGraphicFramePr>
            <xdr:cNvPr id="14" name="Gender">
              <a:extLst>
                <a:ext uri="{FF2B5EF4-FFF2-40B4-BE49-F238E27FC236}">
                  <a16:creationId xmlns:a16="http://schemas.microsoft.com/office/drawing/2014/main" id="{B5086E04-3732-FFC4-466F-5F7A968A820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9526" y="3476625"/>
              <a:ext cx="1143000" cy="23050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314325</xdr:colOff>
      <xdr:row>2</xdr:row>
      <xdr:rowOff>57150</xdr:rowOff>
    </xdr:from>
    <xdr:to>
      <xdr:col>19</xdr:col>
      <xdr:colOff>476250</xdr:colOff>
      <xdr:row>5</xdr:row>
      <xdr:rowOff>114300</xdr:rowOff>
    </xdr:to>
    <xdr:sp macro="" textlink="">
      <xdr:nvSpPr>
        <xdr:cNvPr id="15" name="Rectangle 14">
          <a:extLst>
            <a:ext uri="{FF2B5EF4-FFF2-40B4-BE49-F238E27FC236}">
              <a16:creationId xmlns:a16="http://schemas.microsoft.com/office/drawing/2014/main" id="{4E4DC1F3-C117-4B7F-BB37-D1F29BB535DD}"/>
            </a:ext>
          </a:extLst>
        </xdr:cNvPr>
        <xdr:cNvSpPr/>
      </xdr:nvSpPr>
      <xdr:spPr>
        <a:xfrm>
          <a:off x="10677525" y="438150"/>
          <a:ext cx="1381125" cy="628650"/>
        </a:xfrm>
        <a:prstGeom prst="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Longest Serving Employee </a:t>
          </a:r>
        </a:p>
        <a:p>
          <a:pPr algn="ctr"/>
          <a:r>
            <a:rPr lang="en-IN" sz="1100" b="1">
              <a:solidFill>
                <a:schemeClr val="tx1"/>
              </a:solidFill>
            </a:rPr>
            <a:t>4145 days</a:t>
          </a:r>
        </a:p>
      </xdr:txBody>
    </xdr:sp>
    <xdr:clientData/>
  </xdr:twoCellAnchor>
  <xdr:twoCellAnchor>
    <xdr:from>
      <xdr:col>20</xdr:col>
      <xdr:colOff>390525</xdr:colOff>
      <xdr:row>2</xdr:row>
      <xdr:rowOff>57150</xdr:rowOff>
    </xdr:from>
    <xdr:to>
      <xdr:col>23</xdr:col>
      <xdr:colOff>19050</xdr:colOff>
      <xdr:row>5</xdr:row>
      <xdr:rowOff>123825</xdr:rowOff>
    </xdr:to>
    <xdr:sp macro="" textlink="">
      <xdr:nvSpPr>
        <xdr:cNvPr id="16" name="Rectangle 15">
          <a:extLst>
            <a:ext uri="{FF2B5EF4-FFF2-40B4-BE49-F238E27FC236}">
              <a16:creationId xmlns:a16="http://schemas.microsoft.com/office/drawing/2014/main" id="{BD52568A-1660-4C03-A1FA-8100959A67C2}"/>
            </a:ext>
          </a:extLst>
        </xdr:cNvPr>
        <xdr:cNvSpPr/>
      </xdr:nvSpPr>
      <xdr:spPr>
        <a:xfrm>
          <a:off x="12582525" y="438150"/>
          <a:ext cx="1457325" cy="638175"/>
        </a:xfrm>
        <a:prstGeom prst="rect">
          <a:avLst/>
        </a:prstGeom>
        <a:gradFill flip="none" rotWithShape="1">
          <a:gsLst>
            <a:gs pos="0">
              <a:schemeClr val="accent1">
                <a:lumMod val="60000"/>
                <a:lumOff val="40000"/>
                <a:tint val="66000"/>
                <a:satMod val="160000"/>
              </a:schemeClr>
            </a:gs>
            <a:gs pos="50000">
              <a:schemeClr val="accent1">
                <a:lumMod val="60000"/>
                <a:lumOff val="40000"/>
                <a:tint val="44500"/>
                <a:satMod val="160000"/>
              </a:schemeClr>
            </a:gs>
            <a:gs pos="100000">
              <a:schemeClr val="accent1">
                <a:lumMod val="60000"/>
                <a:lumOff val="40000"/>
                <a:tint val="23500"/>
                <a:satMod val="160000"/>
              </a:schemeClr>
            </a:gs>
          </a:gsLst>
          <a:lin ang="162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chemeClr val="tx1"/>
              </a:solidFill>
            </a:rPr>
            <a:t>Employees Count in India </a:t>
          </a:r>
        </a:p>
        <a:p>
          <a:pPr algn="ctr"/>
          <a:r>
            <a:rPr lang="en-IN" sz="1100" b="1">
              <a:solidFill>
                <a:schemeClr val="tx1"/>
              </a:solidFill>
            </a:rPr>
            <a:t>54</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38100</xdr:colOff>
      <xdr:row>10</xdr:row>
      <xdr:rowOff>185737</xdr:rowOff>
    </xdr:from>
    <xdr:to>
      <xdr:col>3</xdr:col>
      <xdr:colOff>704850</xdr:colOff>
      <xdr:row>25</xdr:row>
      <xdr:rowOff>71437</xdr:rowOff>
    </xdr:to>
    <xdr:graphicFrame macro="">
      <xdr:nvGraphicFramePr>
        <xdr:cNvPr id="2" name="Chart 1">
          <a:extLst>
            <a:ext uri="{FF2B5EF4-FFF2-40B4-BE49-F238E27FC236}">
              <a16:creationId xmlns:a16="http://schemas.microsoft.com/office/drawing/2014/main" id="{AD0AD026-0F79-95B7-84F6-A2314D08F5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895347</xdr:colOff>
      <xdr:row>10</xdr:row>
      <xdr:rowOff>185737</xdr:rowOff>
    </xdr:from>
    <xdr:to>
      <xdr:col>10</xdr:col>
      <xdr:colOff>1057275</xdr:colOff>
      <xdr:row>25</xdr:row>
      <xdr:rowOff>66675</xdr:rowOff>
    </xdr:to>
    <xdr:graphicFrame macro="">
      <xdr:nvGraphicFramePr>
        <xdr:cNvPr id="3" name="Chart 2">
          <a:extLst>
            <a:ext uri="{FF2B5EF4-FFF2-40B4-BE49-F238E27FC236}">
              <a16:creationId xmlns:a16="http://schemas.microsoft.com/office/drawing/2014/main" id="{7BC685AB-6FB5-0C7E-3BBB-81B922FD48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1866900</xdr:colOff>
      <xdr:row>7</xdr:row>
      <xdr:rowOff>100012</xdr:rowOff>
    </xdr:from>
    <xdr:to>
      <xdr:col>18</xdr:col>
      <xdr:colOff>266700</xdr:colOff>
      <xdr:row>20</xdr:row>
      <xdr:rowOff>104775</xdr:rowOff>
    </xdr:to>
    <xdr:graphicFrame macro="">
      <xdr:nvGraphicFramePr>
        <xdr:cNvPr id="4" name="Chart 3">
          <a:extLst>
            <a:ext uri="{FF2B5EF4-FFF2-40B4-BE49-F238E27FC236}">
              <a16:creationId xmlns:a16="http://schemas.microsoft.com/office/drawing/2014/main" id="{6717BF66-D551-EA7D-5957-C1C229D142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104775</xdr:colOff>
      <xdr:row>38</xdr:row>
      <xdr:rowOff>61912</xdr:rowOff>
    </xdr:from>
    <xdr:to>
      <xdr:col>5</xdr:col>
      <xdr:colOff>323850</xdr:colOff>
      <xdr:row>52</xdr:row>
      <xdr:rowOff>138112</xdr:rowOff>
    </xdr:to>
    <xdr:graphicFrame macro="">
      <xdr:nvGraphicFramePr>
        <xdr:cNvPr id="5" name="Chart 4">
          <a:extLst>
            <a:ext uri="{FF2B5EF4-FFF2-40B4-BE49-F238E27FC236}">
              <a16:creationId xmlns:a16="http://schemas.microsoft.com/office/drawing/2014/main" id="{9886803B-486A-45E7-E9CA-BCAF87EB73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714374</xdr:colOff>
      <xdr:row>38</xdr:row>
      <xdr:rowOff>71437</xdr:rowOff>
    </xdr:from>
    <xdr:to>
      <xdr:col>10</xdr:col>
      <xdr:colOff>2133600</xdr:colOff>
      <xdr:row>52</xdr:row>
      <xdr:rowOff>147637</xdr:rowOff>
    </xdr:to>
    <xdr:graphicFrame macro="">
      <xdr:nvGraphicFramePr>
        <xdr:cNvPr id="6" name="Chart 5">
          <a:extLst>
            <a:ext uri="{FF2B5EF4-FFF2-40B4-BE49-F238E27FC236}">
              <a16:creationId xmlns:a16="http://schemas.microsoft.com/office/drawing/2014/main" id="{D09A8FD7-106E-F9D5-EBDE-9C88DE0101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123825</xdr:colOff>
      <xdr:row>55</xdr:row>
      <xdr:rowOff>85725</xdr:rowOff>
    </xdr:from>
    <xdr:to>
      <xdr:col>7</xdr:col>
      <xdr:colOff>123825</xdr:colOff>
      <xdr:row>62</xdr:row>
      <xdr:rowOff>123825</xdr:rowOff>
    </xdr:to>
    <mc:AlternateContent xmlns:mc="http://schemas.openxmlformats.org/markup-compatibility/2006">
      <mc:Choice xmlns:tsle="http://schemas.microsoft.com/office/drawing/2012/timeslicer" Requires="tsle">
        <xdr:graphicFrame macro="">
          <xdr:nvGraphicFramePr>
            <xdr:cNvPr id="7" name="Date of Joining">
              <a:extLst>
                <a:ext uri="{FF2B5EF4-FFF2-40B4-BE49-F238E27FC236}">
                  <a16:creationId xmlns:a16="http://schemas.microsoft.com/office/drawing/2014/main" id="{DA98BF91-085A-0B07-D426-5A8B7DBFE91A}"/>
                </a:ext>
              </a:extLst>
            </xdr:cNvPr>
            <xdr:cNvGraphicFramePr/>
          </xdr:nvGraphicFramePr>
          <xdr:xfrm>
            <a:off x="0" y="0"/>
            <a:ext cx="0" cy="0"/>
          </xdr:xfrm>
          <a:graphic>
            <a:graphicData uri="http://schemas.microsoft.com/office/drawing/2012/timeslicer">
              <tsle:timeslicer xmlns:tsle="http://schemas.microsoft.com/office/drawing/2012/timeslicer" name="Date of Joining"/>
            </a:graphicData>
          </a:graphic>
        </xdr:graphicFrame>
      </mc:Choice>
      <mc:Fallback>
        <xdr:sp macro="" textlink="">
          <xdr:nvSpPr>
            <xdr:cNvPr id="0" name=""/>
            <xdr:cNvSpPr>
              <a:spLocks noTextEdit="1"/>
            </xdr:cNvSpPr>
          </xdr:nvSpPr>
          <xdr:spPr>
            <a:xfrm>
              <a:off x="2647950" y="10582275"/>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11</xdr:col>
      <xdr:colOff>371475</xdr:colOff>
      <xdr:row>52</xdr:row>
      <xdr:rowOff>176212</xdr:rowOff>
    </xdr:from>
    <xdr:to>
      <xdr:col>22</xdr:col>
      <xdr:colOff>285750</xdr:colOff>
      <xdr:row>68</xdr:row>
      <xdr:rowOff>114300</xdr:rowOff>
    </xdr:to>
    <xdr:graphicFrame macro="">
      <xdr:nvGraphicFramePr>
        <xdr:cNvPr id="8" name="Chart 7">
          <a:extLst>
            <a:ext uri="{FF2B5EF4-FFF2-40B4-BE49-F238E27FC236}">
              <a16:creationId xmlns:a16="http://schemas.microsoft.com/office/drawing/2014/main" id="{28402276-941F-02F4-0806-AF9801BD8D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fa" refreshedDate="46160.500116319447" backgroundQuery="1" createdVersion="8" refreshedVersion="8" minRefreshableVersion="3" recordCount="0" supportSubquery="1" supportAdvancedDrill="1" xr:uid="{EC262EA0-6A65-461B-BE3E-DBFC99FA1E10}">
  <cacheSource type="external" connectionId="2"/>
  <cacheFields count="2">
    <cacheField name="[Sheet1].[Department].[Department]" caption="Department" numFmtId="0" hierarchy="4" level="1">
      <sharedItems count="5">
        <s v="Finance"/>
        <s v="HR"/>
        <s v="IT"/>
        <s v="Marketing"/>
        <s v="Sales"/>
      </sharedItems>
    </cacheField>
    <cacheField name="[Measures].[Average of No. of Days with Employer]" caption="Average of No. of Days with Employer" numFmtId="0" hierarchy="28" level="32767"/>
  </cacheFields>
  <cacheHierarchies count="29">
    <cacheHierarchy uniqueName="[Sheet1].[Employee ID]" caption="Employee ID" attribute="1" defaultMemberUniqueName="[Sheet1].[Employee ID].[All]" allUniqueName="[Sheet1].[Employee 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First Name]" caption="First Name" attribute="1" defaultMemberUniqueName="[Sheet1].[First Name].[All]" allUniqueName="[Sheet1].[First Name].[All]" dimensionUniqueName="[Sheet1]" displayFolder="" count="0" memberValueDatatype="130" unbalanced="0"/>
    <cacheHierarchy uniqueName="[Sheet1].[Last Name]" caption="Last Name" attribute="1" defaultMemberUniqueName="[Sheet1].[Last Name].[All]" allUniqueName="[Sheet1].[Last Name].[All]" dimensionUniqueName="[Sheet1]" displayFolder="" count="0" memberValueDatatype="130" unbalanced="0"/>
    <cacheHierarchy uniqueName="[Sheet1].[Department]" caption="Department" attribute="1" defaultMemberUniqueName="[Sheet1].[Department].[All]" allUniqueName="[Sheet1].[Department].[All]" dimensionUniqueName="[Sheet1]" displayFolder="" count="2" memberValueDatatype="130" unbalanced="0">
      <fieldsUsage count="2">
        <fieldUsage x="-1"/>
        <fieldUsage x="0"/>
      </fieldsUsage>
    </cacheHierarchy>
    <cacheHierarchy uniqueName="[Sheet1].[Country]" caption="Country" attribute="1" defaultMemberUniqueName="[Sheet1].[Country].[All]" allUniqueName="[Sheet1].[Country].[All]" dimensionUniqueName="[Sheet1]" displayFolder="" count="0" memberValueDatatype="130" unbalanced="0"/>
    <cacheHierarchy uniqueName="[Sheet1].[Salary]" caption="Salary" attribute="1" defaultMemberUniqueName="[Sheet1].[Salary].[All]" allUniqueName="[Sheet1].[Salary].[All]" dimensionUniqueName="[Sheet1]" displayFolder="" count="0" memberValueDatatype="20" unbalanced="0"/>
    <cacheHierarchy uniqueName="[Sheet1].[Salary Status]" caption="Salary Status" attribute="1" defaultMemberUniqueName="[Sheet1].[Salary Status].[All]" allUniqueName="[Sheet1].[Salary Status].[All]" dimensionUniqueName="[Sheet1]" displayFolder="" count="0" memberValueDatatype="130" unbalanced="0"/>
    <cacheHierarchy uniqueName="[Sheet1].[Date of Joining]" caption="Date of Joining" attribute="1" time="1" defaultMemberUniqueName="[Sheet1].[Date of Joining].[All]" allUniqueName="[Sheet1].[Date of Joining].[All]" dimensionUniqueName="[Sheet1]" displayFolder="" count="0" memberValueDatatype="7" unbalanced="0"/>
    <cacheHierarchy uniqueName="[Sheet1].[Month of Joining]" caption="Month of Joining" attribute="1" defaultMemberUniqueName="[Sheet1].[Month of Joining].[All]" allUniqueName="[Sheet1].[Month of Joining].[All]" dimensionUniqueName="[Sheet1]" displayFolder="" count="0" memberValueDatatype="130" unbalanced="0"/>
    <cacheHierarchy uniqueName="[Sheet1].[No. of Days with Employer]" caption="No. of Days with Employer" attribute="1" defaultMemberUniqueName="[Sheet1].[No. of Days with Employer].[All]" allUniqueName="[Sheet1].[No. of Days with Employer].[All]" dimensionUniqueName="[Sheet1]" displayFolder="" count="0" memberValueDatatype="20" unbalanced="0"/>
    <cacheHierarchy uniqueName="[Sheet1].[Performance Rating]" caption="Performance Rating" attribute="1" defaultMemberUniqueName="[Sheet1].[Performance Rating].[All]" allUniqueName="[Sheet1].[Performance Rating].[All]" dimensionUniqueName="[Sheet1]" displayFolder="" count="0" memberValueDatatype="20" unbalanced="0"/>
    <cacheHierarchy uniqueName="[Sheet1].[Gender]" caption="Gender" attribute="1" defaultMemberUniqueName="[Sheet1].[Gender].[All]" allUniqueName="[Sheet1].[Gender].[All]" dimensionUniqueName="[Sheet1]" displayFolder="" count="0" memberValueDatatype="130" unbalanced="0"/>
    <cacheHierarchy uniqueName="[Sheet1].[Email]" caption="Email" attribute="1" defaultMemberUniqueName="[Sheet1].[Email].[All]" allUniqueName="[Sheet1].[Email].[All]" dimensionUniqueName="[Sheet1]" displayFolder="" count="0" memberValueDatatype="130" unbalanced="0"/>
    <cacheHierarchy uniqueName="[Sheet1].[Date of Joining (Year)]" caption="Date of Joining (Year)" attribute="1" defaultMemberUniqueName="[Sheet1].[Date of Joining (Year)].[All]" allUniqueName="[Sheet1].[Date of Joining (Year)].[All]" dimensionUniqueName="[Sheet1]" displayFolder="" count="0" memberValueDatatype="130" unbalanced="0"/>
    <cacheHierarchy uniqueName="[Sheet1].[Date of Joining (Quarter)]" caption="Date of Joining (Quarter)" attribute="1" defaultMemberUniqueName="[Sheet1].[Date of Joining (Quarter)].[All]" allUniqueName="[Sheet1].[Date of Joining (Quarter)].[All]" dimensionUniqueName="[Sheet1]" displayFolder="" count="0" memberValueDatatype="130" unbalanced="0"/>
    <cacheHierarchy uniqueName="[Sheet1].[Date of Joining (Month)]" caption="Date of Joining (Month)" attribute="1" defaultMemberUniqueName="[Sheet1].[Date of Joining (Month)].[All]" allUniqueName="[Sheet1].[Date of Joining (Month)].[All]" dimensionUniqueName="[Sheet1]" displayFolder="" count="0" memberValueDatatype="130" unbalanced="0"/>
    <cacheHierarchy uniqueName="[Sheet1].[Date of Joining (Month Index)]" caption="Date of Joining (Month Index)" attribute="1" defaultMemberUniqueName="[Sheet1].[Date of Joining (Month Index)].[All]" allUniqueName="[Sheet1].[Date of Joining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Employee ID]" caption="Count of Employee ID" measure="1" displayFolder="" measureGroup="Sheet1"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Sheet1"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Sheet1" count="0" hidden="1">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Sheet1" count="0" hidden="1">
      <extLst>
        <ext xmlns:x15="http://schemas.microsoft.com/office/spreadsheetml/2010/11/main" uri="{B97F6D7D-B522-45F9-BDA1-12C45D357490}">
          <x15:cacheHierarchy aggregatedColumn="4"/>
        </ext>
      </extLst>
    </cacheHierarchy>
    <cacheHierarchy uniqueName="[Measures].[Sum of Performance Rating]" caption="Sum of Performance Rating" measure="1" displayFolder="" measureGroup="Sheet1" count="0" hidden="1">
      <extLst>
        <ext xmlns:x15="http://schemas.microsoft.com/office/spreadsheetml/2010/11/main" uri="{B97F6D7D-B522-45F9-BDA1-12C45D357490}">
          <x15:cacheHierarchy aggregatedColumn="11"/>
        </ext>
      </extLst>
    </cacheHierarchy>
    <cacheHierarchy uniqueName="[Measures].[Average of Performance Rating]" caption="Average of Performance Rating" measure="1" displayFolder="" measureGroup="Sheet1" count="0" hidden="1">
      <extLst>
        <ext xmlns:x15="http://schemas.microsoft.com/office/spreadsheetml/2010/11/main" uri="{B97F6D7D-B522-45F9-BDA1-12C45D357490}">
          <x15:cacheHierarchy aggregatedColumn="11"/>
        </ext>
      </extLst>
    </cacheHierarchy>
    <cacheHierarchy uniqueName="[Measures].[Count of Month of Joining]" caption="Count of Month of Joining" measure="1" displayFolder="" measureGroup="Sheet1" count="0" hidden="1">
      <extLst>
        <ext xmlns:x15="http://schemas.microsoft.com/office/spreadsheetml/2010/11/main" uri="{B97F6D7D-B522-45F9-BDA1-12C45D357490}">
          <x15:cacheHierarchy aggregatedColumn="9"/>
        </ext>
      </extLst>
    </cacheHierarchy>
    <cacheHierarchy uniqueName="[Measures].[Sum of No. of Days with Employer]" caption="Sum of No. of Days with Employer" measure="1" displayFolder="" measureGroup="Sheet1" count="0" hidden="1">
      <extLst>
        <ext xmlns:x15="http://schemas.microsoft.com/office/spreadsheetml/2010/11/main" uri="{B97F6D7D-B522-45F9-BDA1-12C45D357490}">
          <x15:cacheHierarchy aggregatedColumn="10"/>
        </ext>
      </extLst>
    </cacheHierarchy>
    <cacheHierarchy uniqueName="[Measures].[Average of No. of Days with Employer]" caption="Average of No. of Days with Employer" measure="1" displayFolder="" measureGroup="Sheet1"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fa" refreshedDate="46160.468218402777" backgroundQuery="1" createdVersion="8" refreshedVersion="8" minRefreshableVersion="3" recordCount="0" supportSubquery="1" supportAdvancedDrill="1" xr:uid="{5656A7B8-75C6-47EC-9A98-4CF5404034D8}">
  <cacheSource type="external" connectionId="2"/>
  <cacheFields count="3">
    <cacheField name="[Measures].[Count of Employee ID]" caption="Count of Employee ID" numFmtId="0" hierarchy="20" level="32767"/>
    <cacheField name="[Sheet1].[Department].[Department]" caption="Department" numFmtId="0" hierarchy="4" level="1">
      <sharedItems count="2">
        <s v="Marketing"/>
        <s v="Sales"/>
      </sharedItems>
    </cacheField>
    <cacheField name="[Sheet1].[Date of Joining].[Date of Joining]" caption="Date of Joining" numFmtId="0" hierarchy="8" level="1">
      <sharedItems containsSemiMixedTypes="0" containsNonDate="0" containsString="0"/>
    </cacheField>
  </cacheFields>
  <cacheHierarchies count="29">
    <cacheHierarchy uniqueName="[Sheet1].[Employee ID]" caption="Employee ID" attribute="1" defaultMemberUniqueName="[Sheet1].[Employee ID].[All]" allUniqueName="[Sheet1].[Employee 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First Name]" caption="First Name" attribute="1" defaultMemberUniqueName="[Sheet1].[First Name].[All]" allUniqueName="[Sheet1].[First Name].[All]" dimensionUniqueName="[Sheet1]" displayFolder="" count="0" memberValueDatatype="130" unbalanced="0"/>
    <cacheHierarchy uniqueName="[Sheet1].[Last Name]" caption="Last Name" attribute="1" defaultMemberUniqueName="[Sheet1].[Last Name].[All]" allUniqueName="[Sheet1].[Last Name].[All]" dimensionUniqueName="[Sheet1]" displayFolder="" count="0" memberValueDatatype="130" unbalanced="0"/>
    <cacheHierarchy uniqueName="[Sheet1].[Department]" caption="Department" attribute="1" defaultMemberUniqueName="[Sheet1].[Department].[All]" allUniqueName="[Sheet1].[Department].[All]" dimensionUniqueName="[Sheet1]" displayFolder="" count="2" memberValueDatatype="130" unbalanced="0">
      <fieldsUsage count="2">
        <fieldUsage x="-1"/>
        <fieldUsage x="1"/>
      </fieldsUsage>
    </cacheHierarchy>
    <cacheHierarchy uniqueName="[Sheet1].[Country]" caption="Country" attribute="1" defaultMemberUniqueName="[Sheet1].[Country].[All]" allUniqueName="[Sheet1].[Country].[All]" dimensionUniqueName="[Sheet1]" displayFolder="" count="0" memberValueDatatype="130" unbalanced="0"/>
    <cacheHierarchy uniqueName="[Sheet1].[Salary]" caption="Salary" attribute="1" defaultMemberUniqueName="[Sheet1].[Salary].[All]" allUniqueName="[Sheet1].[Salary].[All]" dimensionUniqueName="[Sheet1]" displayFolder="" count="0" memberValueDatatype="20" unbalanced="0"/>
    <cacheHierarchy uniqueName="[Sheet1].[Salary Status]" caption="Salary Status" attribute="1" defaultMemberUniqueName="[Sheet1].[Salary Status].[All]" allUniqueName="[Sheet1].[Salary Status].[All]" dimensionUniqueName="[Sheet1]" displayFolder="" count="0" memberValueDatatype="130" unbalanced="0"/>
    <cacheHierarchy uniqueName="[Sheet1].[Date of Joining]" caption="Date of Joining" attribute="1" time="1" defaultMemberUniqueName="[Sheet1].[Date of Joining].[All]" allUniqueName="[Sheet1].[Date of Joining].[All]" dimensionUniqueName="[Sheet1]" displayFolder="" count="2" memberValueDatatype="7" unbalanced="0">
      <fieldsUsage count="2">
        <fieldUsage x="-1"/>
        <fieldUsage x="2"/>
      </fieldsUsage>
    </cacheHierarchy>
    <cacheHierarchy uniqueName="[Sheet1].[Month of Joining]" caption="Month of Joining" attribute="1" defaultMemberUniqueName="[Sheet1].[Month of Joining].[All]" allUniqueName="[Sheet1].[Month of Joining].[All]" dimensionUniqueName="[Sheet1]" displayFolder="" count="0" memberValueDatatype="130" unbalanced="0"/>
    <cacheHierarchy uniqueName="[Sheet1].[No. of Days with Employer]" caption="No. of Days with Employer" attribute="1" defaultMemberUniqueName="[Sheet1].[No. of Days with Employer].[All]" allUniqueName="[Sheet1].[No. of Days with Employer].[All]" dimensionUniqueName="[Sheet1]" displayFolder="" count="0" memberValueDatatype="20" unbalanced="0"/>
    <cacheHierarchy uniqueName="[Sheet1].[Performance Rating]" caption="Performance Rating" attribute="1" defaultMemberUniqueName="[Sheet1].[Performance Rating].[All]" allUniqueName="[Sheet1].[Performance Rating].[All]" dimensionUniqueName="[Sheet1]" displayFolder="" count="0" memberValueDatatype="20" unbalanced="0"/>
    <cacheHierarchy uniqueName="[Sheet1].[Gender]" caption="Gender" attribute="1" defaultMemberUniqueName="[Sheet1].[Gender].[All]" allUniqueName="[Sheet1].[Gender].[All]" dimensionUniqueName="[Sheet1]" displayFolder="" count="0" memberValueDatatype="130" unbalanced="0"/>
    <cacheHierarchy uniqueName="[Sheet1].[Email]" caption="Email" attribute="1" defaultMemberUniqueName="[Sheet1].[Email].[All]" allUniqueName="[Sheet1].[Email].[All]" dimensionUniqueName="[Sheet1]" displayFolder="" count="0" memberValueDatatype="130" unbalanced="0"/>
    <cacheHierarchy uniqueName="[Sheet1].[Date of Joining (Year)]" caption="Date of Joining (Year)" attribute="1" defaultMemberUniqueName="[Sheet1].[Date of Joining (Year)].[All]" allUniqueName="[Sheet1].[Date of Joining (Year)].[All]" dimensionUniqueName="[Sheet1]" displayFolder="" count="0" memberValueDatatype="130" unbalanced="0"/>
    <cacheHierarchy uniqueName="[Sheet1].[Date of Joining (Quarter)]" caption="Date of Joining (Quarter)" attribute="1" defaultMemberUniqueName="[Sheet1].[Date of Joining (Quarter)].[All]" allUniqueName="[Sheet1].[Date of Joining (Quarter)].[All]" dimensionUniqueName="[Sheet1]" displayFolder="" count="0" memberValueDatatype="130" unbalanced="0"/>
    <cacheHierarchy uniqueName="[Sheet1].[Date of Joining (Month)]" caption="Date of Joining (Month)" attribute="1" defaultMemberUniqueName="[Sheet1].[Date of Joining (Month)].[All]" allUniqueName="[Sheet1].[Date of Joining (Month)].[All]" dimensionUniqueName="[Sheet1]" displayFolder="" count="0" memberValueDatatype="130" unbalanced="0"/>
    <cacheHierarchy uniqueName="[Sheet1].[Date of Joining (Month Index)]" caption="Date of Joining (Month Index)" attribute="1" defaultMemberUniqueName="[Sheet1].[Date of Joining (Month Index)].[All]" allUniqueName="[Sheet1].[Date of Joining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Employee ID]" caption="Count of Employee ID" measure="1" displayFolder="" measureGroup="Sheet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Sheet1"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Sheet1" count="0" hidden="1">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Sheet1" count="0" hidden="1">
      <extLst>
        <ext xmlns:x15="http://schemas.microsoft.com/office/spreadsheetml/2010/11/main" uri="{B97F6D7D-B522-45F9-BDA1-12C45D357490}">
          <x15:cacheHierarchy aggregatedColumn="4"/>
        </ext>
      </extLst>
    </cacheHierarchy>
    <cacheHierarchy uniqueName="[Measures].[Sum of Performance Rating]" caption="Sum of Performance Rating" measure="1" displayFolder="" measureGroup="Sheet1" count="0" hidden="1">
      <extLst>
        <ext xmlns:x15="http://schemas.microsoft.com/office/spreadsheetml/2010/11/main" uri="{B97F6D7D-B522-45F9-BDA1-12C45D357490}">
          <x15:cacheHierarchy aggregatedColumn="11"/>
        </ext>
      </extLst>
    </cacheHierarchy>
    <cacheHierarchy uniqueName="[Measures].[Average of Performance Rating]" caption="Average of Performance Rating" measure="1" displayFolder="" measureGroup="Sheet1" count="0" hidden="1">
      <extLst>
        <ext xmlns:x15="http://schemas.microsoft.com/office/spreadsheetml/2010/11/main" uri="{B97F6D7D-B522-45F9-BDA1-12C45D357490}">
          <x15:cacheHierarchy aggregatedColumn="11"/>
        </ext>
      </extLst>
    </cacheHierarchy>
    <cacheHierarchy uniqueName="[Measures].[Count of Month of Joining]" caption="Count of Month of Joining" measure="1" displayFolder="" measureGroup="Sheet1" count="0" hidden="1">
      <extLst>
        <ext xmlns:x15="http://schemas.microsoft.com/office/spreadsheetml/2010/11/main" uri="{B97F6D7D-B522-45F9-BDA1-12C45D357490}">
          <x15:cacheHierarchy aggregatedColumn="9"/>
        </ext>
      </extLst>
    </cacheHierarchy>
    <cacheHierarchy uniqueName="[Measures].[Sum of No. of Days with Employer]" caption="Sum of No. of Days with Employer" measure="1" displayFolder="" measureGroup="Sheet1" count="0" hidden="1">
      <extLst>
        <ext xmlns:x15="http://schemas.microsoft.com/office/spreadsheetml/2010/11/main" uri="{B97F6D7D-B522-45F9-BDA1-12C45D357490}">
          <x15:cacheHierarchy aggregatedColumn="10"/>
        </ext>
      </extLst>
    </cacheHierarchy>
    <cacheHierarchy uniqueName="[Measures].[Average of No. of Days with Employer]" caption="Average of No. of Days with Employer" measure="1" displayFolder="" measureGroup="Sheet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fa" refreshedDate="46160.464738657407" backgroundQuery="1" createdVersion="8" refreshedVersion="8" minRefreshableVersion="3" recordCount="0" supportSubquery="1" supportAdvancedDrill="1" xr:uid="{19EA12CB-3B16-4643-93D9-03137A4715BD}">
  <cacheSource type="external" connectionId="2"/>
  <cacheFields count="3">
    <cacheField name="[Sheet1].[Department].[Department]" caption="Department" numFmtId="0" hierarchy="4" level="1">
      <sharedItems count="5">
        <s v="Finance"/>
        <s v="HR"/>
        <s v="IT"/>
        <s v="Marketing"/>
        <s v="Sales"/>
      </sharedItems>
    </cacheField>
    <cacheField name="[Sheet1].[Month of Joining].[Month of Joining]" caption="Month of Joining" numFmtId="0" hierarchy="9" level="1">
      <sharedItems count="12">
        <s v="April"/>
        <s v="August"/>
        <s v="December"/>
        <s v="February"/>
        <s v="January"/>
        <s v="July"/>
        <s v="June"/>
        <s v="March"/>
        <s v="May"/>
        <s v="November"/>
        <s v="October"/>
        <s v="September"/>
      </sharedItems>
    </cacheField>
    <cacheField name="[Measures].[Count of Employee ID]" caption="Count of Employee ID" numFmtId="0" hierarchy="20" level="32767"/>
  </cacheFields>
  <cacheHierarchies count="29">
    <cacheHierarchy uniqueName="[Sheet1].[Employee ID]" caption="Employee ID" attribute="1" defaultMemberUniqueName="[Sheet1].[Employee ID].[All]" allUniqueName="[Sheet1].[Employee 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First Name]" caption="First Name" attribute="1" defaultMemberUniqueName="[Sheet1].[First Name].[All]" allUniqueName="[Sheet1].[First Name].[All]" dimensionUniqueName="[Sheet1]" displayFolder="" count="0" memberValueDatatype="130" unbalanced="0"/>
    <cacheHierarchy uniqueName="[Sheet1].[Last Name]" caption="Last Name" attribute="1" defaultMemberUniqueName="[Sheet1].[Last Name].[All]" allUniqueName="[Sheet1].[Last Name].[All]" dimensionUniqueName="[Sheet1]" displayFolder="" count="0" memberValueDatatype="130" unbalanced="0"/>
    <cacheHierarchy uniqueName="[Sheet1].[Department]" caption="Department" attribute="1" defaultMemberUniqueName="[Sheet1].[Department].[All]" allUniqueName="[Sheet1].[Department].[All]" dimensionUniqueName="[Sheet1]" displayFolder="" count="2" memberValueDatatype="130" unbalanced="0">
      <fieldsUsage count="2">
        <fieldUsage x="-1"/>
        <fieldUsage x="0"/>
      </fieldsUsage>
    </cacheHierarchy>
    <cacheHierarchy uniqueName="[Sheet1].[Country]" caption="Country" attribute="1" defaultMemberUniqueName="[Sheet1].[Country].[All]" allUniqueName="[Sheet1].[Country].[All]" dimensionUniqueName="[Sheet1]" displayFolder="" count="0" memberValueDatatype="130" unbalanced="0"/>
    <cacheHierarchy uniqueName="[Sheet1].[Salary]" caption="Salary" attribute="1" defaultMemberUniqueName="[Sheet1].[Salary].[All]" allUniqueName="[Sheet1].[Salary].[All]" dimensionUniqueName="[Sheet1]" displayFolder="" count="0" memberValueDatatype="20" unbalanced="0"/>
    <cacheHierarchy uniqueName="[Sheet1].[Salary Status]" caption="Salary Status" attribute="1" defaultMemberUniqueName="[Sheet1].[Salary Status].[All]" allUniqueName="[Sheet1].[Salary Status].[All]" dimensionUniqueName="[Sheet1]" displayFolder="" count="0" memberValueDatatype="130" unbalanced="0"/>
    <cacheHierarchy uniqueName="[Sheet1].[Date of Joining]" caption="Date of Joining" attribute="1" time="1" defaultMemberUniqueName="[Sheet1].[Date of Joining].[All]" allUniqueName="[Sheet1].[Date of Joining].[All]" dimensionUniqueName="[Sheet1]" displayFolder="" count="0" memberValueDatatype="7" unbalanced="0"/>
    <cacheHierarchy uniqueName="[Sheet1].[Month of Joining]" caption="Month of Joining" attribute="1" defaultMemberUniqueName="[Sheet1].[Month of Joining].[All]" allUniqueName="[Sheet1].[Month of Joining].[All]" dimensionUniqueName="[Sheet1]" displayFolder="" count="2" memberValueDatatype="130" unbalanced="0">
      <fieldsUsage count="2">
        <fieldUsage x="-1"/>
        <fieldUsage x="1"/>
      </fieldsUsage>
    </cacheHierarchy>
    <cacheHierarchy uniqueName="[Sheet1].[No. of Days with Employer]" caption="No. of Days with Employer" attribute="1" defaultMemberUniqueName="[Sheet1].[No. of Days with Employer].[All]" allUniqueName="[Sheet1].[No. of Days with Employer].[All]" dimensionUniqueName="[Sheet1]" displayFolder="" count="0" memberValueDatatype="20" unbalanced="0"/>
    <cacheHierarchy uniqueName="[Sheet1].[Performance Rating]" caption="Performance Rating" attribute="1" defaultMemberUniqueName="[Sheet1].[Performance Rating].[All]" allUniqueName="[Sheet1].[Performance Rating].[All]" dimensionUniqueName="[Sheet1]" displayFolder="" count="0" memberValueDatatype="20" unbalanced="0"/>
    <cacheHierarchy uniqueName="[Sheet1].[Gender]" caption="Gender" attribute="1" defaultMemberUniqueName="[Sheet1].[Gender].[All]" allUniqueName="[Sheet1].[Gender].[All]" dimensionUniqueName="[Sheet1]" displayFolder="" count="0" memberValueDatatype="130" unbalanced="0"/>
    <cacheHierarchy uniqueName="[Sheet1].[Email]" caption="Email" attribute="1" defaultMemberUniqueName="[Sheet1].[Email].[All]" allUniqueName="[Sheet1].[Email].[All]" dimensionUniqueName="[Sheet1]" displayFolder="" count="0" memberValueDatatype="130" unbalanced="0"/>
    <cacheHierarchy uniqueName="[Sheet1].[Date of Joining (Year)]" caption="Date of Joining (Year)" attribute="1" defaultMemberUniqueName="[Sheet1].[Date of Joining (Year)].[All]" allUniqueName="[Sheet1].[Date of Joining (Year)].[All]" dimensionUniqueName="[Sheet1]" displayFolder="" count="0" memberValueDatatype="130" unbalanced="0"/>
    <cacheHierarchy uniqueName="[Sheet1].[Date of Joining (Quarter)]" caption="Date of Joining (Quarter)" attribute="1" defaultMemberUniqueName="[Sheet1].[Date of Joining (Quarter)].[All]" allUniqueName="[Sheet1].[Date of Joining (Quarter)].[All]" dimensionUniqueName="[Sheet1]" displayFolder="" count="0" memberValueDatatype="130" unbalanced="0"/>
    <cacheHierarchy uniqueName="[Sheet1].[Date of Joining (Month)]" caption="Date of Joining (Month)" attribute="1" defaultMemberUniqueName="[Sheet1].[Date of Joining (Month)].[All]" allUniqueName="[Sheet1].[Date of Joining (Month)].[All]" dimensionUniqueName="[Sheet1]" displayFolder="" count="0" memberValueDatatype="130" unbalanced="0"/>
    <cacheHierarchy uniqueName="[Sheet1].[Date of Joining (Month Index)]" caption="Date of Joining (Month Index)" attribute="1" defaultMemberUniqueName="[Sheet1].[Date of Joining (Month Index)].[All]" allUniqueName="[Sheet1].[Date of Joining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Employee ID]" caption="Count of Employee ID" measure="1" displayFolder="" measureGroup="Sheet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Sheet1"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Sheet1" count="0" hidden="1">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Sheet1" count="0" hidden="1">
      <extLst>
        <ext xmlns:x15="http://schemas.microsoft.com/office/spreadsheetml/2010/11/main" uri="{B97F6D7D-B522-45F9-BDA1-12C45D357490}">
          <x15:cacheHierarchy aggregatedColumn="4"/>
        </ext>
      </extLst>
    </cacheHierarchy>
    <cacheHierarchy uniqueName="[Measures].[Sum of Performance Rating]" caption="Sum of Performance Rating" measure="1" displayFolder="" measureGroup="Sheet1" count="0" hidden="1">
      <extLst>
        <ext xmlns:x15="http://schemas.microsoft.com/office/spreadsheetml/2010/11/main" uri="{B97F6D7D-B522-45F9-BDA1-12C45D357490}">
          <x15:cacheHierarchy aggregatedColumn="11"/>
        </ext>
      </extLst>
    </cacheHierarchy>
    <cacheHierarchy uniqueName="[Measures].[Average of Performance Rating]" caption="Average of Performance Rating" measure="1" displayFolder="" measureGroup="Sheet1" count="0" hidden="1">
      <extLst>
        <ext xmlns:x15="http://schemas.microsoft.com/office/spreadsheetml/2010/11/main" uri="{B97F6D7D-B522-45F9-BDA1-12C45D357490}">
          <x15:cacheHierarchy aggregatedColumn="11"/>
        </ext>
      </extLst>
    </cacheHierarchy>
    <cacheHierarchy uniqueName="[Measures].[Count of Month of Joining]" caption="Count of Month of Joining" measure="1" displayFolder="" measureGroup="Sheet1" count="0" hidden="1">
      <extLst>
        <ext xmlns:x15="http://schemas.microsoft.com/office/spreadsheetml/2010/11/main" uri="{B97F6D7D-B522-45F9-BDA1-12C45D357490}">
          <x15:cacheHierarchy aggregatedColumn="9"/>
        </ext>
      </extLst>
    </cacheHierarchy>
    <cacheHierarchy uniqueName="[Measures].[Sum of No. of Days with Employer]" caption="Sum of No. of Days with Employer" measure="1" displayFolder="" measureGroup="Sheet1" count="0" hidden="1">
      <extLst>
        <ext xmlns:x15="http://schemas.microsoft.com/office/spreadsheetml/2010/11/main" uri="{B97F6D7D-B522-45F9-BDA1-12C45D357490}">
          <x15:cacheHierarchy aggregatedColumn="10"/>
        </ext>
      </extLst>
    </cacheHierarchy>
    <cacheHierarchy uniqueName="[Measures].[Average of No. of Days with Employer]" caption="Average of No. of Days with Employer" measure="1" displayFolder="" measureGroup="Sheet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fa" refreshedDate="46160.464744097226" backgroundQuery="1" createdVersion="8" refreshedVersion="8" minRefreshableVersion="3" recordCount="0" supportSubquery="1" supportAdvancedDrill="1" xr:uid="{C722ED81-E4C2-470A-B46A-476ABA7E2751}">
  <cacheSource type="external" connectionId="2"/>
  <cacheFields count="3">
    <cacheField name="[Sheet1].[Department].[Department]" caption="Department" numFmtId="0" hierarchy="4" level="1">
      <sharedItems count="5">
        <s v="Finance"/>
        <s v="HR"/>
        <s v="IT"/>
        <s v="Marketing"/>
        <s v="Sales"/>
      </sharedItems>
    </cacheField>
    <cacheField name="[Measures].[Average of Salary]" caption="Average of Salary" numFmtId="0" hierarchy="22" level="32767"/>
    <cacheField name="[Measures].[Average of Performance Rating]" caption="Average of Performance Rating" numFmtId="0" hierarchy="25" level="32767"/>
  </cacheFields>
  <cacheHierarchies count="29">
    <cacheHierarchy uniqueName="[Sheet1].[Employee ID]" caption="Employee ID" attribute="1" defaultMemberUniqueName="[Sheet1].[Employee ID].[All]" allUniqueName="[Sheet1].[Employee 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First Name]" caption="First Name" attribute="1" defaultMemberUniqueName="[Sheet1].[First Name].[All]" allUniqueName="[Sheet1].[First Name].[All]" dimensionUniqueName="[Sheet1]" displayFolder="" count="0" memberValueDatatype="130" unbalanced="0"/>
    <cacheHierarchy uniqueName="[Sheet1].[Last Name]" caption="Last Name" attribute="1" defaultMemberUniqueName="[Sheet1].[Last Name].[All]" allUniqueName="[Sheet1].[Last Name].[All]" dimensionUniqueName="[Sheet1]" displayFolder="" count="0" memberValueDatatype="130" unbalanced="0"/>
    <cacheHierarchy uniqueName="[Sheet1].[Department]" caption="Department" attribute="1" defaultMemberUniqueName="[Sheet1].[Department].[All]" allUniqueName="[Sheet1].[Department].[All]" dimensionUniqueName="[Sheet1]" displayFolder="" count="2" memberValueDatatype="130" unbalanced="0">
      <fieldsUsage count="2">
        <fieldUsage x="-1"/>
        <fieldUsage x="0"/>
      </fieldsUsage>
    </cacheHierarchy>
    <cacheHierarchy uniqueName="[Sheet1].[Country]" caption="Country" attribute="1" defaultMemberUniqueName="[Sheet1].[Country].[All]" allUniqueName="[Sheet1].[Country].[All]" dimensionUniqueName="[Sheet1]" displayFolder="" count="0" memberValueDatatype="130" unbalanced="0"/>
    <cacheHierarchy uniqueName="[Sheet1].[Salary]" caption="Salary" attribute="1" defaultMemberUniqueName="[Sheet1].[Salary].[All]" allUniqueName="[Sheet1].[Salary].[All]" dimensionUniqueName="[Sheet1]" displayFolder="" count="0" memberValueDatatype="20" unbalanced="0"/>
    <cacheHierarchy uniqueName="[Sheet1].[Salary Status]" caption="Salary Status" attribute="1" defaultMemberUniqueName="[Sheet1].[Salary Status].[All]" allUniqueName="[Sheet1].[Salary Status].[All]" dimensionUniqueName="[Sheet1]" displayFolder="" count="0" memberValueDatatype="130" unbalanced="0"/>
    <cacheHierarchy uniqueName="[Sheet1].[Date of Joining]" caption="Date of Joining" attribute="1" time="1" defaultMemberUniqueName="[Sheet1].[Date of Joining].[All]" allUniqueName="[Sheet1].[Date of Joining].[All]" dimensionUniqueName="[Sheet1]" displayFolder="" count="0" memberValueDatatype="7" unbalanced="0"/>
    <cacheHierarchy uniqueName="[Sheet1].[Month of Joining]" caption="Month of Joining" attribute="1" defaultMemberUniqueName="[Sheet1].[Month of Joining].[All]" allUniqueName="[Sheet1].[Month of Joining].[All]" dimensionUniqueName="[Sheet1]" displayFolder="" count="0" memberValueDatatype="130" unbalanced="0"/>
    <cacheHierarchy uniqueName="[Sheet1].[No. of Days with Employer]" caption="No. of Days with Employer" attribute="1" defaultMemberUniqueName="[Sheet1].[No. of Days with Employer].[All]" allUniqueName="[Sheet1].[No. of Days with Employer].[All]" dimensionUniqueName="[Sheet1]" displayFolder="" count="0" memberValueDatatype="20" unbalanced="0"/>
    <cacheHierarchy uniqueName="[Sheet1].[Performance Rating]" caption="Performance Rating" attribute="1" defaultMemberUniqueName="[Sheet1].[Performance Rating].[All]" allUniqueName="[Sheet1].[Performance Rating].[All]" dimensionUniqueName="[Sheet1]" displayFolder="" count="0" memberValueDatatype="20" unbalanced="0"/>
    <cacheHierarchy uniqueName="[Sheet1].[Gender]" caption="Gender" attribute="1" defaultMemberUniqueName="[Sheet1].[Gender].[All]" allUniqueName="[Sheet1].[Gender].[All]" dimensionUniqueName="[Sheet1]" displayFolder="" count="0" memberValueDatatype="130" unbalanced="0"/>
    <cacheHierarchy uniqueName="[Sheet1].[Email]" caption="Email" attribute="1" defaultMemberUniqueName="[Sheet1].[Email].[All]" allUniqueName="[Sheet1].[Email].[All]" dimensionUniqueName="[Sheet1]" displayFolder="" count="0" memberValueDatatype="130" unbalanced="0"/>
    <cacheHierarchy uniqueName="[Sheet1].[Date of Joining (Year)]" caption="Date of Joining (Year)" attribute="1" defaultMemberUniqueName="[Sheet1].[Date of Joining (Year)].[All]" allUniqueName="[Sheet1].[Date of Joining (Year)].[All]" dimensionUniqueName="[Sheet1]" displayFolder="" count="0" memberValueDatatype="130" unbalanced="0"/>
    <cacheHierarchy uniqueName="[Sheet1].[Date of Joining (Quarter)]" caption="Date of Joining (Quarter)" attribute="1" defaultMemberUniqueName="[Sheet1].[Date of Joining (Quarter)].[All]" allUniqueName="[Sheet1].[Date of Joining (Quarter)].[All]" dimensionUniqueName="[Sheet1]" displayFolder="" count="0" memberValueDatatype="130" unbalanced="0"/>
    <cacheHierarchy uniqueName="[Sheet1].[Date of Joining (Month)]" caption="Date of Joining (Month)" attribute="1" defaultMemberUniqueName="[Sheet1].[Date of Joining (Month)].[All]" allUniqueName="[Sheet1].[Date of Joining (Month)].[All]" dimensionUniqueName="[Sheet1]" displayFolder="" count="0" memberValueDatatype="130" unbalanced="0"/>
    <cacheHierarchy uniqueName="[Sheet1].[Date of Joining (Month Index)]" caption="Date of Joining (Month Index)" attribute="1" defaultMemberUniqueName="[Sheet1].[Date of Joining (Month Index)].[All]" allUniqueName="[Sheet1].[Date of Joining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Employee ID]" caption="Count of Employee ID" measure="1" displayFolder="" measureGroup="Sheet1"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Sheet1"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Sheet1"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Sheet1" count="0" hidden="1">
      <extLst>
        <ext xmlns:x15="http://schemas.microsoft.com/office/spreadsheetml/2010/11/main" uri="{B97F6D7D-B522-45F9-BDA1-12C45D357490}">
          <x15:cacheHierarchy aggregatedColumn="4"/>
        </ext>
      </extLst>
    </cacheHierarchy>
    <cacheHierarchy uniqueName="[Measures].[Sum of Performance Rating]" caption="Sum of Performance Rating" measure="1" displayFolder="" measureGroup="Sheet1" count="0" hidden="1">
      <extLst>
        <ext xmlns:x15="http://schemas.microsoft.com/office/spreadsheetml/2010/11/main" uri="{B97F6D7D-B522-45F9-BDA1-12C45D357490}">
          <x15:cacheHierarchy aggregatedColumn="11"/>
        </ext>
      </extLst>
    </cacheHierarchy>
    <cacheHierarchy uniqueName="[Measures].[Average of Performance Rating]" caption="Average of Performance Rating" measure="1" displayFolder="" measureGroup="Sheet1" count="0" oneField="1" hidden="1">
      <fieldsUsage count="1">
        <fieldUsage x="2"/>
      </fieldsUsage>
      <extLst>
        <ext xmlns:x15="http://schemas.microsoft.com/office/spreadsheetml/2010/11/main" uri="{B97F6D7D-B522-45F9-BDA1-12C45D357490}">
          <x15:cacheHierarchy aggregatedColumn="11"/>
        </ext>
      </extLst>
    </cacheHierarchy>
    <cacheHierarchy uniqueName="[Measures].[Count of Month of Joining]" caption="Count of Month of Joining" measure="1" displayFolder="" measureGroup="Sheet1" count="0" hidden="1">
      <extLst>
        <ext xmlns:x15="http://schemas.microsoft.com/office/spreadsheetml/2010/11/main" uri="{B97F6D7D-B522-45F9-BDA1-12C45D357490}">
          <x15:cacheHierarchy aggregatedColumn="9"/>
        </ext>
      </extLst>
    </cacheHierarchy>
    <cacheHierarchy uniqueName="[Measures].[Sum of No. of Days with Employer]" caption="Sum of No. of Days with Employer" measure="1" displayFolder="" measureGroup="Sheet1" count="0" hidden="1">
      <extLst>
        <ext xmlns:x15="http://schemas.microsoft.com/office/spreadsheetml/2010/11/main" uri="{B97F6D7D-B522-45F9-BDA1-12C45D357490}">
          <x15:cacheHierarchy aggregatedColumn="10"/>
        </ext>
      </extLst>
    </cacheHierarchy>
    <cacheHierarchy uniqueName="[Measures].[Average of No. of Days with Employer]" caption="Average of No. of Days with Employer" measure="1" displayFolder="" measureGroup="Sheet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fa" refreshedDate="46160.464741898148" backgroundQuery="1" createdVersion="8" refreshedVersion="8" minRefreshableVersion="3" recordCount="0" supportSubquery="1" supportAdvancedDrill="1" xr:uid="{F8F6BA03-F5BF-45FD-B416-EA02C3815D5C}">
  <cacheSource type="external" connectionId="2"/>
  <cacheFields count="2">
    <cacheField name="[Sheet1].[Salary Status].[Salary Status]" caption="Salary Status" numFmtId="0" hierarchy="7" level="1">
      <sharedItems count="3">
        <s v="Good Salary"/>
        <s v="High Salary"/>
        <s v="Low Salary"/>
      </sharedItems>
    </cacheField>
    <cacheField name="[Measures].[Count of Employee ID]" caption="Count of Employee ID" numFmtId="0" hierarchy="20" level="32767"/>
  </cacheFields>
  <cacheHierarchies count="29">
    <cacheHierarchy uniqueName="[Sheet1].[Employee ID]" caption="Employee ID" attribute="1" defaultMemberUniqueName="[Sheet1].[Employee ID].[All]" allUniqueName="[Sheet1].[Employee 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First Name]" caption="First Name" attribute="1" defaultMemberUniqueName="[Sheet1].[First Name].[All]" allUniqueName="[Sheet1].[First Name].[All]" dimensionUniqueName="[Sheet1]" displayFolder="" count="0" memberValueDatatype="130" unbalanced="0"/>
    <cacheHierarchy uniqueName="[Sheet1].[Last Name]" caption="Last Name" attribute="1" defaultMemberUniqueName="[Sheet1].[Last Name].[All]" allUniqueName="[Sheet1].[Last Name].[All]" dimensionUniqueName="[Sheet1]" displayFolder="" count="0" memberValueDatatype="130" unbalanced="0"/>
    <cacheHierarchy uniqueName="[Sheet1].[Department]" caption="Department" attribute="1" defaultMemberUniqueName="[Sheet1].[Department].[All]" allUniqueName="[Sheet1].[Department].[All]" dimensionUniqueName="[Sheet1]" displayFolder="" count="0" memberValueDatatype="130" unbalanced="0"/>
    <cacheHierarchy uniqueName="[Sheet1].[Country]" caption="Country" attribute="1" defaultMemberUniqueName="[Sheet1].[Country].[All]" allUniqueName="[Sheet1].[Country].[All]" dimensionUniqueName="[Sheet1]" displayFolder="" count="0" memberValueDatatype="130" unbalanced="0"/>
    <cacheHierarchy uniqueName="[Sheet1].[Salary]" caption="Salary" attribute="1" defaultMemberUniqueName="[Sheet1].[Salary].[All]" allUniqueName="[Sheet1].[Salary].[All]" dimensionUniqueName="[Sheet1]" displayFolder="" count="0" memberValueDatatype="20" unbalanced="0"/>
    <cacheHierarchy uniqueName="[Sheet1].[Salary Status]" caption="Salary Status" attribute="1" defaultMemberUniqueName="[Sheet1].[Salary Status].[All]" allUniqueName="[Sheet1].[Salary Status].[All]" dimensionUniqueName="[Sheet1]" displayFolder="" count="2" memberValueDatatype="130" unbalanced="0">
      <fieldsUsage count="2">
        <fieldUsage x="-1"/>
        <fieldUsage x="0"/>
      </fieldsUsage>
    </cacheHierarchy>
    <cacheHierarchy uniqueName="[Sheet1].[Date of Joining]" caption="Date of Joining" attribute="1" time="1" defaultMemberUniqueName="[Sheet1].[Date of Joining].[All]" allUniqueName="[Sheet1].[Date of Joining].[All]" dimensionUniqueName="[Sheet1]" displayFolder="" count="0" memberValueDatatype="7" unbalanced="0"/>
    <cacheHierarchy uniqueName="[Sheet1].[Month of Joining]" caption="Month of Joining" attribute="1" defaultMemberUniqueName="[Sheet1].[Month of Joining].[All]" allUniqueName="[Sheet1].[Month of Joining].[All]" dimensionUniqueName="[Sheet1]" displayFolder="" count="0" memberValueDatatype="130" unbalanced="0"/>
    <cacheHierarchy uniqueName="[Sheet1].[No. of Days with Employer]" caption="No. of Days with Employer" attribute="1" defaultMemberUniqueName="[Sheet1].[No. of Days with Employer].[All]" allUniqueName="[Sheet1].[No. of Days with Employer].[All]" dimensionUniqueName="[Sheet1]" displayFolder="" count="0" memberValueDatatype="20" unbalanced="0"/>
    <cacheHierarchy uniqueName="[Sheet1].[Performance Rating]" caption="Performance Rating" attribute="1" defaultMemberUniqueName="[Sheet1].[Performance Rating].[All]" allUniqueName="[Sheet1].[Performance Rating].[All]" dimensionUniqueName="[Sheet1]" displayFolder="" count="0" memberValueDatatype="20" unbalanced="0"/>
    <cacheHierarchy uniqueName="[Sheet1].[Gender]" caption="Gender" attribute="1" defaultMemberUniqueName="[Sheet1].[Gender].[All]" allUniqueName="[Sheet1].[Gender].[All]" dimensionUniqueName="[Sheet1]" displayFolder="" count="0" memberValueDatatype="130" unbalanced="0"/>
    <cacheHierarchy uniqueName="[Sheet1].[Email]" caption="Email" attribute="1" defaultMemberUniqueName="[Sheet1].[Email].[All]" allUniqueName="[Sheet1].[Email].[All]" dimensionUniqueName="[Sheet1]" displayFolder="" count="0" memberValueDatatype="130" unbalanced="0"/>
    <cacheHierarchy uniqueName="[Sheet1].[Date of Joining (Year)]" caption="Date of Joining (Year)" attribute="1" defaultMemberUniqueName="[Sheet1].[Date of Joining (Year)].[All]" allUniqueName="[Sheet1].[Date of Joining (Year)].[All]" dimensionUniqueName="[Sheet1]" displayFolder="" count="0" memberValueDatatype="130" unbalanced="0"/>
    <cacheHierarchy uniqueName="[Sheet1].[Date of Joining (Quarter)]" caption="Date of Joining (Quarter)" attribute="1" defaultMemberUniqueName="[Sheet1].[Date of Joining (Quarter)].[All]" allUniqueName="[Sheet1].[Date of Joining (Quarter)].[All]" dimensionUniqueName="[Sheet1]" displayFolder="" count="0" memberValueDatatype="130" unbalanced="0"/>
    <cacheHierarchy uniqueName="[Sheet1].[Date of Joining (Month)]" caption="Date of Joining (Month)" attribute="1" defaultMemberUniqueName="[Sheet1].[Date of Joining (Month)].[All]" allUniqueName="[Sheet1].[Date of Joining (Month)].[All]" dimensionUniqueName="[Sheet1]" displayFolder="" count="0" memberValueDatatype="130" unbalanced="0"/>
    <cacheHierarchy uniqueName="[Sheet1].[Date of Joining (Month Index)]" caption="Date of Joining (Month Index)" attribute="1" defaultMemberUniqueName="[Sheet1].[Date of Joining (Month Index)].[All]" allUniqueName="[Sheet1].[Date of Joining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Employee ID]" caption="Count of Employee ID" measure="1" displayFolder="" measureGroup="Sheet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Sheet1"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Sheet1" count="0" hidden="1">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Sheet1" count="0" hidden="1">
      <extLst>
        <ext xmlns:x15="http://schemas.microsoft.com/office/spreadsheetml/2010/11/main" uri="{B97F6D7D-B522-45F9-BDA1-12C45D357490}">
          <x15:cacheHierarchy aggregatedColumn="4"/>
        </ext>
      </extLst>
    </cacheHierarchy>
    <cacheHierarchy uniqueName="[Measures].[Sum of Performance Rating]" caption="Sum of Performance Rating" measure="1" displayFolder="" measureGroup="Sheet1" count="0" hidden="1">
      <extLst>
        <ext xmlns:x15="http://schemas.microsoft.com/office/spreadsheetml/2010/11/main" uri="{B97F6D7D-B522-45F9-BDA1-12C45D357490}">
          <x15:cacheHierarchy aggregatedColumn="11"/>
        </ext>
      </extLst>
    </cacheHierarchy>
    <cacheHierarchy uniqueName="[Measures].[Average of Performance Rating]" caption="Average of Performance Rating" measure="1" displayFolder="" measureGroup="Sheet1" count="0" hidden="1">
      <extLst>
        <ext xmlns:x15="http://schemas.microsoft.com/office/spreadsheetml/2010/11/main" uri="{B97F6D7D-B522-45F9-BDA1-12C45D357490}">
          <x15:cacheHierarchy aggregatedColumn="11"/>
        </ext>
      </extLst>
    </cacheHierarchy>
    <cacheHierarchy uniqueName="[Measures].[Count of Month of Joining]" caption="Count of Month of Joining" measure="1" displayFolder="" measureGroup="Sheet1" count="0" hidden="1">
      <extLst>
        <ext xmlns:x15="http://schemas.microsoft.com/office/spreadsheetml/2010/11/main" uri="{B97F6D7D-B522-45F9-BDA1-12C45D357490}">
          <x15:cacheHierarchy aggregatedColumn="9"/>
        </ext>
      </extLst>
    </cacheHierarchy>
    <cacheHierarchy uniqueName="[Measures].[Sum of No. of Days with Employer]" caption="Sum of No. of Days with Employer" measure="1" displayFolder="" measureGroup="Sheet1" count="0" hidden="1">
      <extLst>
        <ext xmlns:x15="http://schemas.microsoft.com/office/spreadsheetml/2010/11/main" uri="{B97F6D7D-B522-45F9-BDA1-12C45D357490}">
          <x15:cacheHierarchy aggregatedColumn="10"/>
        </ext>
      </extLst>
    </cacheHierarchy>
    <cacheHierarchy uniqueName="[Measures].[Average of No. of Days with Employer]" caption="Average of No. of Days with Employer" measure="1" displayFolder="" measureGroup="Sheet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fa" refreshedDate="46160.464740856478" backgroundQuery="1" createdVersion="8" refreshedVersion="8" minRefreshableVersion="3" recordCount="0" supportSubquery="1" supportAdvancedDrill="1" xr:uid="{385CE18F-08DB-4639-97BB-C93BB7D0A969}">
  <cacheSource type="external" connectionId="2"/>
  <cacheFields count="2">
    <cacheField name="[Sheet1].[Country].[Country]" caption="Country" numFmtId="0" hierarchy="5" level="1">
      <sharedItems count="5">
        <s v="Australia"/>
        <s v="Germany"/>
        <s v="India"/>
        <s v="UK"/>
        <s v="USA"/>
      </sharedItems>
    </cacheField>
    <cacheField name="[Measures].[Average of Salary]" caption="Average of Salary" numFmtId="0" hierarchy="22" level="32767"/>
  </cacheFields>
  <cacheHierarchies count="29">
    <cacheHierarchy uniqueName="[Sheet1].[Employee ID]" caption="Employee ID" attribute="1" defaultMemberUniqueName="[Sheet1].[Employee ID].[All]" allUniqueName="[Sheet1].[Employee 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First Name]" caption="First Name" attribute="1" defaultMemberUniqueName="[Sheet1].[First Name].[All]" allUniqueName="[Sheet1].[First Name].[All]" dimensionUniqueName="[Sheet1]" displayFolder="" count="0" memberValueDatatype="130" unbalanced="0"/>
    <cacheHierarchy uniqueName="[Sheet1].[Last Name]" caption="Last Name" attribute="1" defaultMemberUniqueName="[Sheet1].[Last Name].[All]" allUniqueName="[Sheet1].[Last Name].[All]" dimensionUniqueName="[Sheet1]" displayFolder="" count="0" memberValueDatatype="130" unbalanced="0"/>
    <cacheHierarchy uniqueName="[Sheet1].[Department]" caption="Department" attribute="1" defaultMemberUniqueName="[Sheet1].[Department].[All]" allUniqueName="[Sheet1].[Department].[All]" dimensionUniqueName="[Sheet1]" displayFolder="" count="0" memberValueDatatype="130" unbalanced="0"/>
    <cacheHierarchy uniqueName="[Sheet1].[Country]" caption="Country" attribute="1" defaultMemberUniqueName="[Sheet1].[Country].[All]" allUniqueName="[Sheet1].[Country].[All]" dimensionUniqueName="[Sheet1]" displayFolder="" count="2" memberValueDatatype="130" unbalanced="0">
      <fieldsUsage count="2">
        <fieldUsage x="-1"/>
        <fieldUsage x="0"/>
      </fieldsUsage>
    </cacheHierarchy>
    <cacheHierarchy uniqueName="[Sheet1].[Salary]" caption="Salary" attribute="1" defaultMemberUniqueName="[Sheet1].[Salary].[All]" allUniqueName="[Sheet1].[Salary].[All]" dimensionUniqueName="[Sheet1]" displayFolder="" count="0" memberValueDatatype="20" unbalanced="0"/>
    <cacheHierarchy uniqueName="[Sheet1].[Salary Status]" caption="Salary Status" attribute="1" defaultMemberUniqueName="[Sheet1].[Salary Status].[All]" allUniqueName="[Sheet1].[Salary Status].[All]" dimensionUniqueName="[Sheet1]" displayFolder="" count="0" memberValueDatatype="130" unbalanced="0"/>
    <cacheHierarchy uniqueName="[Sheet1].[Date of Joining]" caption="Date of Joining" attribute="1" time="1" defaultMemberUniqueName="[Sheet1].[Date of Joining].[All]" allUniqueName="[Sheet1].[Date of Joining].[All]" dimensionUniqueName="[Sheet1]" displayFolder="" count="0" memberValueDatatype="7" unbalanced="0"/>
    <cacheHierarchy uniqueName="[Sheet1].[Month of Joining]" caption="Month of Joining" attribute="1" defaultMemberUniqueName="[Sheet1].[Month of Joining].[All]" allUniqueName="[Sheet1].[Month of Joining].[All]" dimensionUniqueName="[Sheet1]" displayFolder="" count="0" memberValueDatatype="130" unbalanced="0"/>
    <cacheHierarchy uniqueName="[Sheet1].[No. of Days with Employer]" caption="No. of Days with Employer" attribute="1" defaultMemberUniqueName="[Sheet1].[No. of Days with Employer].[All]" allUniqueName="[Sheet1].[No. of Days with Employer].[All]" dimensionUniqueName="[Sheet1]" displayFolder="" count="0" memberValueDatatype="20" unbalanced="0"/>
    <cacheHierarchy uniqueName="[Sheet1].[Performance Rating]" caption="Performance Rating" attribute="1" defaultMemberUniqueName="[Sheet1].[Performance Rating].[All]" allUniqueName="[Sheet1].[Performance Rating].[All]" dimensionUniqueName="[Sheet1]" displayFolder="" count="0" memberValueDatatype="20" unbalanced="0"/>
    <cacheHierarchy uniqueName="[Sheet1].[Gender]" caption="Gender" attribute="1" defaultMemberUniqueName="[Sheet1].[Gender].[All]" allUniqueName="[Sheet1].[Gender].[All]" dimensionUniqueName="[Sheet1]" displayFolder="" count="0" memberValueDatatype="130" unbalanced="0"/>
    <cacheHierarchy uniqueName="[Sheet1].[Email]" caption="Email" attribute="1" defaultMemberUniqueName="[Sheet1].[Email].[All]" allUniqueName="[Sheet1].[Email].[All]" dimensionUniqueName="[Sheet1]" displayFolder="" count="0" memberValueDatatype="130" unbalanced="0"/>
    <cacheHierarchy uniqueName="[Sheet1].[Date of Joining (Year)]" caption="Date of Joining (Year)" attribute="1" defaultMemberUniqueName="[Sheet1].[Date of Joining (Year)].[All]" allUniqueName="[Sheet1].[Date of Joining (Year)].[All]" dimensionUniqueName="[Sheet1]" displayFolder="" count="0" memberValueDatatype="130" unbalanced="0"/>
    <cacheHierarchy uniqueName="[Sheet1].[Date of Joining (Quarter)]" caption="Date of Joining (Quarter)" attribute="1" defaultMemberUniqueName="[Sheet1].[Date of Joining (Quarter)].[All]" allUniqueName="[Sheet1].[Date of Joining (Quarter)].[All]" dimensionUniqueName="[Sheet1]" displayFolder="" count="0" memberValueDatatype="130" unbalanced="0"/>
    <cacheHierarchy uniqueName="[Sheet1].[Date of Joining (Month)]" caption="Date of Joining (Month)" attribute="1" defaultMemberUniqueName="[Sheet1].[Date of Joining (Month)].[All]" allUniqueName="[Sheet1].[Date of Joining (Month)].[All]" dimensionUniqueName="[Sheet1]" displayFolder="" count="0" memberValueDatatype="130" unbalanced="0"/>
    <cacheHierarchy uniqueName="[Sheet1].[Date of Joining (Month Index)]" caption="Date of Joining (Month Index)" attribute="1" defaultMemberUniqueName="[Sheet1].[Date of Joining (Month Index)].[All]" allUniqueName="[Sheet1].[Date of Joining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Employee ID]" caption="Count of Employee ID" measure="1" displayFolder="" measureGroup="Sheet1"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Sheet1"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Sheet1" count="0" oneField="1" hidden="1">
      <fieldsUsage count="1">
        <fieldUsage x="1"/>
      </fieldsUsage>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Sheet1" count="0" hidden="1">
      <extLst>
        <ext xmlns:x15="http://schemas.microsoft.com/office/spreadsheetml/2010/11/main" uri="{B97F6D7D-B522-45F9-BDA1-12C45D357490}">
          <x15:cacheHierarchy aggregatedColumn="4"/>
        </ext>
      </extLst>
    </cacheHierarchy>
    <cacheHierarchy uniqueName="[Measures].[Sum of Performance Rating]" caption="Sum of Performance Rating" measure="1" displayFolder="" measureGroup="Sheet1" count="0" hidden="1">
      <extLst>
        <ext xmlns:x15="http://schemas.microsoft.com/office/spreadsheetml/2010/11/main" uri="{B97F6D7D-B522-45F9-BDA1-12C45D357490}">
          <x15:cacheHierarchy aggregatedColumn="11"/>
        </ext>
      </extLst>
    </cacheHierarchy>
    <cacheHierarchy uniqueName="[Measures].[Average of Performance Rating]" caption="Average of Performance Rating" measure="1" displayFolder="" measureGroup="Sheet1" count="0" hidden="1">
      <extLst>
        <ext xmlns:x15="http://schemas.microsoft.com/office/spreadsheetml/2010/11/main" uri="{B97F6D7D-B522-45F9-BDA1-12C45D357490}">
          <x15:cacheHierarchy aggregatedColumn="11"/>
        </ext>
      </extLst>
    </cacheHierarchy>
    <cacheHierarchy uniqueName="[Measures].[Count of Month of Joining]" caption="Count of Month of Joining" measure="1" displayFolder="" measureGroup="Sheet1" count="0" hidden="1">
      <extLst>
        <ext xmlns:x15="http://schemas.microsoft.com/office/spreadsheetml/2010/11/main" uri="{B97F6D7D-B522-45F9-BDA1-12C45D357490}">
          <x15:cacheHierarchy aggregatedColumn="9"/>
        </ext>
      </extLst>
    </cacheHierarchy>
    <cacheHierarchy uniqueName="[Measures].[Sum of No. of Days with Employer]" caption="Sum of No. of Days with Employer" measure="1" displayFolder="" measureGroup="Sheet1" count="0" hidden="1">
      <extLst>
        <ext xmlns:x15="http://schemas.microsoft.com/office/spreadsheetml/2010/11/main" uri="{B97F6D7D-B522-45F9-BDA1-12C45D357490}">
          <x15:cacheHierarchy aggregatedColumn="10"/>
        </ext>
      </extLst>
    </cacheHierarchy>
    <cacheHierarchy uniqueName="[Measures].[Average of No. of Days with Employer]" caption="Average of No. of Days with Employer" measure="1" displayFolder="" measureGroup="Sheet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fa" refreshedDate="46160.526463773145" backgroundQuery="1" createdVersion="8" refreshedVersion="8" minRefreshableVersion="3" recordCount="0" supportSubquery="1" supportAdvancedDrill="1" xr:uid="{8131AB93-F185-4232-A5E2-2ED4F313F88E}">
  <cacheSource type="external" connectionId="2"/>
  <cacheFields count="2">
    <cacheField name="[Measures].[Count of Employee ID]" caption="Count of Employee ID" numFmtId="0" hierarchy="20" level="32767"/>
    <cacheField name="[Sheet1].[Department].[Department]" caption="Department" numFmtId="0" hierarchy="4" level="1">
      <sharedItems count="5">
        <s v="Finance"/>
        <s v="HR"/>
        <s v="IT"/>
        <s v="Marketing"/>
        <s v="Sales"/>
      </sharedItems>
    </cacheField>
  </cacheFields>
  <cacheHierarchies count="29">
    <cacheHierarchy uniqueName="[Sheet1].[Employee ID]" caption="Employee ID" attribute="1" defaultMemberUniqueName="[Sheet1].[Employee ID].[All]" allUniqueName="[Sheet1].[Employee ID].[All]" dimensionUniqueName="[Sheet1]" displayFolder="" count="2" memberValueDatatype="130" unbalanced="0"/>
    <cacheHierarchy uniqueName="[Sheet1].[Name]" caption="Name" attribute="1" defaultMemberUniqueName="[Sheet1].[Name].[All]" allUniqueName="[Sheet1].[Name].[All]" dimensionUniqueName="[Sheet1]" displayFolder="" count="2" memberValueDatatype="130" unbalanced="0"/>
    <cacheHierarchy uniqueName="[Sheet1].[First Name]" caption="First Name" attribute="1" defaultMemberUniqueName="[Sheet1].[First Name].[All]" allUniqueName="[Sheet1].[First Name].[All]" dimensionUniqueName="[Sheet1]" displayFolder="" count="2" memberValueDatatype="130" unbalanced="0"/>
    <cacheHierarchy uniqueName="[Sheet1].[Last Name]" caption="Last Name" attribute="1" defaultMemberUniqueName="[Sheet1].[Last Name].[All]" allUniqueName="[Sheet1].[Last Name].[All]" dimensionUniqueName="[Sheet1]" displayFolder="" count="2" memberValueDatatype="130" unbalanced="0"/>
    <cacheHierarchy uniqueName="[Sheet1].[Department]" caption="Department" attribute="1" defaultMemberUniqueName="[Sheet1].[Department].[All]" allUniqueName="[Sheet1].[Department].[All]" dimensionUniqueName="[Sheet1]" displayFolder="" count="2" memberValueDatatype="130" unbalanced="0">
      <fieldsUsage count="2">
        <fieldUsage x="-1"/>
        <fieldUsage x="1"/>
      </fieldsUsage>
    </cacheHierarchy>
    <cacheHierarchy uniqueName="[Sheet1].[Country]" caption="Country" attribute="1" defaultMemberUniqueName="[Sheet1].[Country].[All]" allUniqueName="[Sheet1].[Country].[All]" dimensionUniqueName="[Sheet1]" displayFolder="" count="2" memberValueDatatype="130" unbalanced="0"/>
    <cacheHierarchy uniqueName="[Sheet1].[Salary]" caption="Salary" attribute="1" defaultMemberUniqueName="[Sheet1].[Salary].[All]" allUniqueName="[Sheet1].[Salary].[All]" dimensionUniqueName="[Sheet1]" displayFolder="" count="2" memberValueDatatype="20" unbalanced="0"/>
    <cacheHierarchy uniqueName="[Sheet1].[Salary Status]" caption="Salary Status" attribute="1" defaultMemberUniqueName="[Sheet1].[Salary Status].[All]" allUniqueName="[Sheet1].[Salary Status].[All]" dimensionUniqueName="[Sheet1]" displayFolder="" count="2" memberValueDatatype="130" unbalanced="0"/>
    <cacheHierarchy uniqueName="[Sheet1].[Date of Joining]" caption="Date of Joining" attribute="1" time="1" defaultMemberUniqueName="[Sheet1].[Date of Joining].[All]" allUniqueName="[Sheet1].[Date of Joining].[All]" dimensionUniqueName="[Sheet1]" displayFolder="" count="2" memberValueDatatype="7" unbalanced="0"/>
    <cacheHierarchy uniqueName="[Sheet1].[Month of Joining]" caption="Month of Joining" attribute="1" defaultMemberUniqueName="[Sheet1].[Month of Joining].[All]" allUniqueName="[Sheet1].[Month of Joining].[All]" dimensionUniqueName="[Sheet1]" displayFolder="" count="2" memberValueDatatype="130" unbalanced="0"/>
    <cacheHierarchy uniqueName="[Sheet1].[No. of Days with Employer]" caption="No. of Days with Employer" attribute="1" defaultMemberUniqueName="[Sheet1].[No. of Days with Employer].[All]" allUniqueName="[Sheet1].[No. of Days with Employer].[All]" dimensionUniqueName="[Sheet1]" displayFolder="" count="2" memberValueDatatype="20" unbalanced="0"/>
    <cacheHierarchy uniqueName="[Sheet1].[Performance Rating]" caption="Performance Rating" attribute="1" defaultMemberUniqueName="[Sheet1].[Performance Rating].[All]" allUniqueName="[Sheet1].[Performance Rating].[All]" dimensionUniqueName="[Sheet1]" displayFolder="" count="2" memberValueDatatype="20" unbalanced="0"/>
    <cacheHierarchy uniqueName="[Sheet1].[Gender]" caption="Gender" attribute="1" defaultMemberUniqueName="[Sheet1].[Gender].[All]" allUniqueName="[Sheet1].[Gender].[All]" dimensionUniqueName="[Sheet1]" displayFolder="" count="2" memberValueDatatype="130" unbalanced="0"/>
    <cacheHierarchy uniqueName="[Sheet1].[Email]" caption="Email" attribute="1" defaultMemberUniqueName="[Sheet1].[Email].[All]" allUniqueName="[Sheet1].[Email].[All]" dimensionUniqueName="[Sheet1]" displayFolder="" count="2" memberValueDatatype="130" unbalanced="0"/>
    <cacheHierarchy uniqueName="[Sheet1].[Date of Joining (Year)]" caption="Date of Joining (Year)" attribute="1" defaultMemberUniqueName="[Sheet1].[Date of Joining (Year)].[All]" allUniqueName="[Sheet1].[Date of Joining (Year)].[All]" dimensionUniqueName="[Sheet1]" displayFolder="" count="2" memberValueDatatype="130" unbalanced="0"/>
    <cacheHierarchy uniqueName="[Sheet1].[Date of Joining (Quarter)]" caption="Date of Joining (Quarter)" attribute="1" defaultMemberUniqueName="[Sheet1].[Date of Joining (Quarter)].[All]" allUniqueName="[Sheet1].[Date of Joining (Quarter)].[All]" dimensionUniqueName="[Sheet1]" displayFolder="" count="2" memberValueDatatype="130" unbalanced="0"/>
    <cacheHierarchy uniqueName="[Sheet1].[Date of Joining (Month)]" caption="Date of Joining (Month)" attribute="1" defaultMemberUniqueName="[Sheet1].[Date of Joining (Month)].[All]" allUniqueName="[Sheet1].[Date of Joining (Month)].[All]" dimensionUniqueName="[Sheet1]" displayFolder="" count="2" memberValueDatatype="130" unbalanced="0"/>
    <cacheHierarchy uniqueName="[Sheet1].[Date of Joining (Month Index)]" caption="Date of Joining (Month Index)" attribute="1" defaultMemberUniqueName="[Sheet1].[Date of Joining (Month Index)].[All]" allUniqueName="[Sheet1].[Date of Joining (Month Index)].[All]" dimensionUniqueName="[Sheet1]" displayFolder="" count="2"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Employee ID]" caption="Count of Employee ID" measure="1" displayFolder="" measureGroup="Sheet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Sheet1"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Sheet1" count="0" hidden="1">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Sheet1" count="0" hidden="1">
      <extLst>
        <ext xmlns:x15="http://schemas.microsoft.com/office/spreadsheetml/2010/11/main" uri="{B97F6D7D-B522-45F9-BDA1-12C45D357490}">
          <x15:cacheHierarchy aggregatedColumn="4"/>
        </ext>
      </extLst>
    </cacheHierarchy>
    <cacheHierarchy uniqueName="[Measures].[Sum of Performance Rating]" caption="Sum of Performance Rating" measure="1" displayFolder="" measureGroup="Sheet1" count="0" hidden="1">
      <extLst>
        <ext xmlns:x15="http://schemas.microsoft.com/office/spreadsheetml/2010/11/main" uri="{B97F6D7D-B522-45F9-BDA1-12C45D357490}">
          <x15:cacheHierarchy aggregatedColumn="11"/>
        </ext>
      </extLst>
    </cacheHierarchy>
    <cacheHierarchy uniqueName="[Measures].[Average of Performance Rating]" caption="Average of Performance Rating" measure="1" displayFolder="" measureGroup="Sheet1" count="0" hidden="1">
      <extLst>
        <ext xmlns:x15="http://schemas.microsoft.com/office/spreadsheetml/2010/11/main" uri="{B97F6D7D-B522-45F9-BDA1-12C45D357490}">
          <x15:cacheHierarchy aggregatedColumn="11"/>
        </ext>
      </extLst>
    </cacheHierarchy>
    <cacheHierarchy uniqueName="[Measures].[Count of Month of Joining]" caption="Count of Month of Joining" measure="1" displayFolder="" measureGroup="Sheet1" count="0" hidden="1">
      <extLst>
        <ext xmlns:x15="http://schemas.microsoft.com/office/spreadsheetml/2010/11/main" uri="{B97F6D7D-B522-45F9-BDA1-12C45D357490}">
          <x15:cacheHierarchy aggregatedColumn="9"/>
        </ext>
      </extLst>
    </cacheHierarchy>
    <cacheHierarchy uniqueName="[Measures].[Sum of No. of Days with Employer]" caption="Sum of No. of Days with Employer" measure="1" displayFolder="" measureGroup="Sheet1" count="0" hidden="1">
      <extLst>
        <ext xmlns:x15="http://schemas.microsoft.com/office/spreadsheetml/2010/11/main" uri="{B97F6D7D-B522-45F9-BDA1-12C45D357490}">
          <x15:cacheHierarchy aggregatedColumn="10"/>
        </ext>
      </extLst>
    </cacheHierarchy>
    <cacheHierarchy uniqueName="[Measures].[Average of No. of Days with Employer]" caption="Average of No. of Days with Employer" measure="1" displayFolder="" measureGroup="Sheet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fa" refreshedDate="46160.527634027778" backgroundQuery="1" createdVersion="8" refreshedVersion="8" minRefreshableVersion="3" recordCount="0" supportSubquery="1" supportAdvancedDrill="1" xr:uid="{BDD79991-BCC2-4DC8-8B06-515B79FCB86B}">
  <cacheSource type="external" connectionId="2"/>
  <cacheFields count="3">
    <cacheField name="[Sheet1].[Gender].[Gender]" caption="Gender" numFmtId="0" hierarchy="12" level="1">
      <sharedItems count="4">
        <s v="Female"/>
        <s v="Male"/>
        <s v="Not Specified"/>
        <s v="Other"/>
      </sharedItems>
    </cacheField>
    <cacheField name="[Sheet1].[Department].[Department]" caption="Department" numFmtId="0" hierarchy="4" level="1">
      <sharedItems count="5">
        <s v="Finance"/>
        <s v="HR"/>
        <s v="IT"/>
        <s v="Marketing"/>
        <s v="Sales"/>
      </sharedItems>
    </cacheField>
    <cacheField name="[Measures].[Count of Employee ID]" caption="Count of Employee ID" numFmtId="0" hierarchy="20" level="32767"/>
  </cacheFields>
  <cacheHierarchies count="29">
    <cacheHierarchy uniqueName="[Sheet1].[Employee ID]" caption="Employee ID" attribute="1" defaultMemberUniqueName="[Sheet1].[Employee ID].[All]" allUniqueName="[Sheet1].[Employee ID].[All]" dimensionUniqueName="[Sheet1]" displayFolder="" count="2" memberValueDatatype="130" unbalanced="0"/>
    <cacheHierarchy uniqueName="[Sheet1].[Name]" caption="Name" attribute="1" defaultMemberUniqueName="[Sheet1].[Name].[All]" allUniqueName="[Sheet1].[Name].[All]" dimensionUniqueName="[Sheet1]" displayFolder="" count="2" memberValueDatatype="130" unbalanced="0"/>
    <cacheHierarchy uniqueName="[Sheet1].[First Name]" caption="First Name" attribute="1" defaultMemberUniqueName="[Sheet1].[First Name].[All]" allUniqueName="[Sheet1].[First Name].[All]" dimensionUniqueName="[Sheet1]" displayFolder="" count="2" memberValueDatatype="130" unbalanced="0"/>
    <cacheHierarchy uniqueName="[Sheet1].[Last Name]" caption="Last Name" attribute="1" defaultMemberUniqueName="[Sheet1].[Last Name].[All]" allUniqueName="[Sheet1].[Last Name].[All]" dimensionUniqueName="[Sheet1]" displayFolder="" count="2" memberValueDatatype="130" unbalanced="0"/>
    <cacheHierarchy uniqueName="[Sheet1].[Department]" caption="Department" attribute="1" defaultMemberUniqueName="[Sheet1].[Department].[All]" allUniqueName="[Sheet1].[Department].[All]" dimensionUniqueName="[Sheet1]" displayFolder="" count="2" memberValueDatatype="130" unbalanced="0">
      <fieldsUsage count="2">
        <fieldUsage x="-1"/>
        <fieldUsage x="1"/>
      </fieldsUsage>
    </cacheHierarchy>
    <cacheHierarchy uniqueName="[Sheet1].[Country]" caption="Country" attribute="1" defaultMemberUniqueName="[Sheet1].[Country].[All]" allUniqueName="[Sheet1].[Country].[All]" dimensionUniqueName="[Sheet1]" displayFolder="" count="2" memberValueDatatype="130" unbalanced="0"/>
    <cacheHierarchy uniqueName="[Sheet1].[Salary]" caption="Salary" attribute="1" defaultMemberUniqueName="[Sheet1].[Salary].[All]" allUniqueName="[Sheet1].[Salary].[All]" dimensionUniqueName="[Sheet1]" displayFolder="" count="2" memberValueDatatype="20" unbalanced="0"/>
    <cacheHierarchy uniqueName="[Sheet1].[Salary Status]" caption="Salary Status" attribute="1" defaultMemberUniqueName="[Sheet1].[Salary Status].[All]" allUniqueName="[Sheet1].[Salary Status].[All]" dimensionUniqueName="[Sheet1]" displayFolder="" count="2" memberValueDatatype="130" unbalanced="0"/>
    <cacheHierarchy uniqueName="[Sheet1].[Date of Joining]" caption="Date of Joining" attribute="1" time="1" defaultMemberUniqueName="[Sheet1].[Date of Joining].[All]" allUniqueName="[Sheet1].[Date of Joining].[All]" dimensionUniqueName="[Sheet1]" displayFolder="" count="2" memberValueDatatype="7" unbalanced="0"/>
    <cacheHierarchy uniqueName="[Sheet1].[Month of Joining]" caption="Month of Joining" attribute="1" defaultMemberUniqueName="[Sheet1].[Month of Joining].[All]" allUniqueName="[Sheet1].[Month of Joining].[All]" dimensionUniqueName="[Sheet1]" displayFolder="" count="2" memberValueDatatype="130" unbalanced="0"/>
    <cacheHierarchy uniqueName="[Sheet1].[No. of Days with Employer]" caption="No. of Days with Employer" attribute="1" defaultMemberUniqueName="[Sheet1].[No. of Days with Employer].[All]" allUniqueName="[Sheet1].[No. of Days with Employer].[All]" dimensionUniqueName="[Sheet1]" displayFolder="" count="2" memberValueDatatype="20" unbalanced="0"/>
    <cacheHierarchy uniqueName="[Sheet1].[Performance Rating]" caption="Performance Rating" attribute="1" defaultMemberUniqueName="[Sheet1].[Performance Rating].[All]" allUniqueName="[Sheet1].[Performance Rating].[All]" dimensionUniqueName="[Sheet1]" displayFolder="" count="2" memberValueDatatype="20" unbalanced="0"/>
    <cacheHierarchy uniqueName="[Sheet1].[Gender]" caption="Gender" attribute="1" defaultMemberUniqueName="[Sheet1].[Gender].[All]" allUniqueName="[Sheet1].[Gender].[All]" dimensionUniqueName="[Sheet1]" displayFolder="" count="2" memberValueDatatype="130" unbalanced="0">
      <fieldsUsage count="2">
        <fieldUsage x="-1"/>
        <fieldUsage x="0"/>
      </fieldsUsage>
    </cacheHierarchy>
    <cacheHierarchy uniqueName="[Sheet1].[Email]" caption="Email" attribute="1" defaultMemberUniqueName="[Sheet1].[Email].[All]" allUniqueName="[Sheet1].[Email].[All]" dimensionUniqueName="[Sheet1]" displayFolder="" count="2" memberValueDatatype="130" unbalanced="0"/>
    <cacheHierarchy uniqueName="[Sheet1].[Date of Joining (Year)]" caption="Date of Joining (Year)" attribute="1" defaultMemberUniqueName="[Sheet1].[Date of Joining (Year)].[All]" allUniqueName="[Sheet1].[Date of Joining (Year)].[All]" dimensionUniqueName="[Sheet1]" displayFolder="" count="2" memberValueDatatype="130" unbalanced="0"/>
    <cacheHierarchy uniqueName="[Sheet1].[Date of Joining (Quarter)]" caption="Date of Joining (Quarter)" attribute="1" defaultMemberUniqueName="[Sheet1].[Date of Joining (Quarter)].[All]" allUniqueName="[Sheet1].[Date of Joining (Quarter)].[All]" dimensionUniqueName="[Sheet1]" displayFolder="" count="2" memberValueDatatype="130" unbalanced="0"/>
    <cacheHierarchy uniqueName="[Sheet1].[Date of Joining (Month)]" caption="Date of Joining (Month)" attribute="1" defaultMemberUniqueName="[Sheet1].[Date of Joining (Month)].[All]" allUniqueName="[Sheet1].[Date of Joining (Month)].[All]" dimensionUniqueName="[Sheet1]" displayFolder="" count="2" memberValueDatatype="130" unbalanced="0"/>
    <cacheHierarchy uniqueName="[Sheet1].[Date of Joining (Month Index)]" caption="Date of Joining (Month Index)" attribute="1" defaultMemberUniqueName="[Sheet1].[Date of Joining (Month Index)].[All]" allUniqueName="[Sheet1].[Date of Joining (Month Index)].[All]" dimensionUniqueName="[Sheet1]" displayFolder="" count="2"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Employee ID]" caption="Count of Employee ID" measure="1" displayFolder="" measureGroup="Sheet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Salary]" caption="Sum of Salary" measure="1" displayFolder="" measureGroup="Sheet1"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Sheet1" count="0" hidden="1">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Sheet1" count="0" hidden="1">
      <extLst>
        <ext xmlns:x15="http://schemas.microsoft.com/office/spreadsheetml/2010/11/main" uri="{B97F6D7D-B522-45F9-BDA1-12C45D357490}">
          <x15:cacheHierarchy aggregatedColumn="4"/>
        </ext>
      </extLst>
    </cacheHierarchy>
    <cacheHierarchy uniqueName="[Measures].[Sum of Performance Rating]" caption="Sum of Performance Rating" measure="1" displayFolder="" measureGroup="Sheet1" count="0" hidden="1">
      <extLst>
        <ext xmlns:x15="http://schemas.microsoft.com/office/spreadsheetml/2010/11/main" uri="{B97F6D7D-B522-45F9-BDA1-12C45D357490}">
          <x15:cacheHierarchy aggregatedColumn="11"/>
        </ext>
      </extLst>
    </cacheHierarchy>
    <cacheHierarchy uniqueName="[Measures].[Average of Performance Rating]" caption="Average of Performance Rating" measure="1" displayFolder="" measureGroup="Sheet1" count="0" hidden="1">
      <extLst>
        <ext xmlns:x15="http://schemas.microsoft.com/office/spreadsheetml/2010/11/main" uri="{B97F6D7D-B522-45F9-BDA1-12C45D357490}">
          <x15:cacheHierarchy aggregatedColumn="11"/>
        </ext>
      </extLst>
    </cacheHierarchy>
    <cacheHierarchy uniqueName="[Measures].[Count of Month of Joining]" caption="Count of Month of Joining" measure="1" displayFolder="" measureGroup="Sheet1" count="0" hidden="1">
      <extLst>
        <ext xmlns:x15="http://schemas.microsoft.com/office/spreadsheetml/2010/11/main" uri="{B97F6D7D-B522-45F9-BDA1-12C45D357490}">
          <x15:cacheHierarchy aggregatedColumn="9"/>
        </ext>
      </extLst>
    </cacheHierarchy>
    <cacheHierarchy uniqueName="[Measures].[Sum of No. of Days with Employer]" caption="Sum of No. of Days with Employer" measure="1" displayFolder="" measureGroup="Sheet1" count="0" hidden="1">
      <extLst>
        <ext xmlns:x15="http://schemas.microsoft.com/office/spreadsheetml/2010/11/main" uri="{B97F6D7D-B522-45F9-BDA1-12C45D357490}">
          <x15:cacheHierarchy aggregatedColumn="10"/>
        </ext>
      </extLst>
    </cacheHierarchy>
    <cacheHierarchy uniqueName="[Measures].[Average of No. of Days with Employer]" caption="Average of No. of Days with Employer" measure="1" displayFolder="" measureGroup="Sheet1" count="0" hidden="1">
      <extLst>
        <ext xmlns:x15="http://schemas.microsoft.com/office/spreadsheetml/2010/11/main" uri="{B97F6D7D-B522-45F9-BDA1-12C45D357490}">
          <x15:cacheHierarchy aggregatedColumn="10"/>
        </ext>
      </extLst>
    </cacheHierarchy>
  </cacheHierarchies>
  <kpis count="0"/>
  <dimensions count="2">
    <dimension measure="1" name="Measures" uniqueName="[Measures]" caption="Measures"/>
    <dimension name="Sheet1" uniqueName="[Sheet1]" caption="Sheet1"/>
  </dimensions>
  <measureGroups count="1">
    <measureGroup name="Sheet1" caption="Sheet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fa" refreshedDate="46160.526461689813" backgroundQuery="1" createdVersion="3" refreshedVersion="8" minRefreshableVersion="3" recordCount="0" supportSubquery="1" supportAdvancedDrill="1" xr:uid="{E68187F9-305C-4B39-9909-FDF91CCABFD2}">
  <cacheSource type="external" connectionId="2">
    <extLst>
      <ext xmlns:x14="http://schemas.microsoft.com/office/spreadsheetml/2009/9/main" uri="{F057638F-6D5F-4e77-A914-E7F072B9BCA8}">
        <x14:sourceConnection name="ThisWorkbookDataModel"/>
      </ext>
    </extLst>
  </cacheSource>
  <cacheFields count="0"/>
  <cacheHierarchies count="29">
    <cacheHierarchy uniqueName="[Sheet1].[Employee ID]" caption="Employee ID" attribute="1" defaultMemberUniqueName="[Sheet1].[Employee ID].[All]" allUniqueName="[Sheet1].[Employee 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First Name]" caption="First Name" attribute="1" defaultMemberUniqueName="[Sheet1].[First Name].[All]" allUniqueName="[Sheet1].[First Name].[All]" dimensionUniqueName="[Sheet1]" displayFolder="" count="0" memberValueDatatype="130" unbalanced="0"/>
    <cacheHierarchy uniqueName="[Sheet1].[Last Name]" caption="Last Name" attribute="1" defaultMemberUniqueName="[Sheet1].[Last Name].[All]" allUniqueName="[Sheet1].[Last Name].[All]" dimensionUniqueName="[Sheet1]" displayFolder="" count="0" memberValueDatatype="130" unbalanced="0"/>
    <cacheHierarchy uniqueName="[Sheet1].[Department]" caption="Department" attribute="1" defaultMemberUniqueName="[Sheet1].[Department].[All]" allUniqueName="[Sheet1].[Department].[All]" dimensionUniqueName="[Sheet1]" displayFolder="" count="2" memberValueDatatype="130" unbalanced="0"/>
    <cacheHierarchy uniqueName="[Sheet1].[Country]" caption="Country" attribute="1" defaultMemberUniqueName="[Sheet1].[Country].[All]" allUniqueName="[Sheet1].[Country].[All]" dimensionUniqueName="[Sheet1]" displayFolder="" count="0" memberValueDatatype="130" unbalanced="0"/>
    <cacheHierarchy uniqueName="[Sheet1].[Salary]" caption="Salary" attribute="1" defaultMemberUniqueName="[Sheet1].[Salary].[All]" allUniqueName="[Sheet1].[Salary].[All]" dimensionUniqueName="[Sheet1]" displayFolder="" count="0" memberValueDatatype="20" unbalanced="0"/>
    <cacheHierarchy uniqueName="[Sheet1].[Salary Status]" caption="Salary Status" attribute="1" defaultMemberUniqueName="[Sheet1].[Salary Status].[All]" allUniqueName="[Sheet1].[Salary Status].[All]" dimensionUniqueName="[Sheet1]" displayFolder="" count="0" memberValueDatatype="130" unbalanced="0"/>
    <cacheHierarchy uniqueName="[Sheet1].[Date of Joining]" caption="Date of Joining" attribute="1" time="1" defaultMemberUniqueName="[Sheet1].[Date of Joining].[All]" allUniqueName="[Sheet1].[Date of Joining].[All]" dimensionUniqueName="[Sheet1]" displayFolder="" count="0" memberValueDatatype="7" unbalanced="0"/>
    <cacheHierarchy uniqueName="[Sheet1].[Month of Joining]" caption="Month of Joining" attribute="1" defaultMemberUniqueName="[Sheet1].[Month of Joining].[All]" allUniqueName="[Sheet1].[Month of Joining].[All]" dimensionUniqueName="[Sheet1]" displayFolder="" count="0" memberValueDatatype="130" unbalanced="0"/>
    <cacheHierarchy uniqueName="[Sheet1].[No. of Days with Employer]" caption="No. of Days with Employer" attribute="1" defaultMemberUniqueName="[Sheet1].[No. of Days with Employer].[All]" allUniqueName="[Sheet1].[No. of Days with Employer].[All]" dimensionUniqueName="[Sheet1]" displayFolder="" count="0" memberValueDatatype="20" unbalanced="0"/>
    <cacheHierarchy uniqueName="[Sheet1].[Performance Rating]" caption="Performance Rating" attribute="1" defaultMemberUniqueName="[Sheet1].[Performance Rating].[All]" allUniqueName="[Sheet1].[Performance Rating].[All]" dimensionUniqueName="[Sheet1]" displayFolder="" count="0" memberValueDatatype="20" unbalanced="0"/>
    <cacheHierarchy uniqueName="[Sheet1].[Gender]" caption="Gender" attribute="1" defaultMemberUniqueName="[Sheet1].[Gender].[All]" allUniqueName="[Sheet1].[Gender].[All]" dimensionUniqueName="[Sheet1]" displayFolder="" count="2" memberValueDatatype="130" unbalanced="0"/>
    <cacheHierarchy uniqueName="[Sheet1].[Email]" caption="Email" attribute="1" defaultMemberUniqueName="[Sheet1].[Email].[All]" allUniqueName="[Sheet1].[Email].[All]" dimensionUniqueName="[Sheet1]" displayFolder="" count="0" memberValueDatatype="130" unbalanced="0"/>
    <cacheHierarchy uniqueName="[Sheet1].[Date of Joining (Year)]" caption="Date of Joining (Year)" attribute="1" defaultMemberUniqueName="[Sheet1].[Date of Joining (Year)].[All]" allUniqueName="[Sheet1].[Date of Joining (Year)].[All]" dimensionUniqueName="[Sheet1]" displayFolder="" count="0" memberValueDatatype="130" unbalanced="0"/>
    <cacheHierarchy uniqueName="[Sheet1].[Date of Joining (Quarter)]" caption="Date of Joining (Quarter)" attribute="1" defaultMemberUniqueName="[Sheet1].[Date of Joining (Quarter)].[All]" allUniqueName="[Sheet1].[Date of Joining (Quarter)].[All]" dimensionUniqueName="[Sheet1]" displayFolder="" count="0" memberValueDatatype="130" unbalanced="0"/>
    <cacheHierarchy uniqueName="[Sheet1].[Date of Joining (Month)]" caption="Date of Joining (Month)" attribute="1" defaultMemberUniqueName="[Sheet1].[Date of Joining (Month)].[All]" allUniqueName="[Sheet1].[Date of Joining (Month)].[All]" dimensionUniqueName="[Sheet1]" displayFolder="" count="0" memberValueDatatype="130" unbalanced="0"/>
    <cacheHierarchy uniqueName="[Sheet1].[Date of Joining (Month Index)]" caption="Date of Joining (Month Index)" attribute="1" defaultMemberUniqueName="[Sheet1].[Date of Joining (Month Index)].[All]" allUniqueName="[Sheet1].[Date of Joining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Employee ID]" caption="Count of Employee ID" measure="1" displayFolder="" measureGroup="Sheet1"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Sheet1"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Sheet1" count="0" hidden="1">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Sheet1" count="0" hidden="1">
      <extLst>
        <ext xmlns:x15="http://schemas.microsoft.com/office/spreadsheetml/2010/11/main" uri="{B97F6D7D-B522-45F9-BDA1-12C45D357490}">
          <x15:cacheHierarchy aggregatedColumn="4"/>
        </ext>
      </extLst>
    </cacheHierarchy>
    <cacheHierarchy uniqueName="[Measures].[Sum of Performance Rating]" caption="Sum of Performance Rating" measure="1" displayFolder="" measureGroup="Sheet1" count="0" hidden="1">
      <extLst>
        <ext xmlns:x15="http://schemas.microsoft.com/office/spreadsheetml/2010/11/main" uri="{B97F6D7D-B522-45F9-BDA1-12C45D357490}">
          <x15:cacheHierarchy aggregatedColumn="11"/>
        </ext>
      </extLst>
    </cacheHierarchy>
    <cacheHierarchy uniqueName="[Measures].[Average of Performance Rating]" caption="Average of Performance Rating" measure="1" displayFolder="" measureGroup="Sheet1" count="0" hidden="1">
      <extLst>
        <ext xmlns:x15="http://schemas.microsoft.com/office/spreadsheetml/2010/11/main" uri="{B97F6D7D-B522-45F9-BDA1-12C45D357490}">
          <x15:cacheHierarchy aggregatedColumn="11"/>
        </ext>
      </extLst>
    </cacheHierarchy>
    <cacheHierarchy uniqueName="[Measures].[Count of Month of Joining]" caption="Count of Month of Joining" measure="1" displayFolder="" measureGroup="Sheet1" count="0" hidden="1">
      <extLst>
        <ext xmlns:x15="http://schemas.microsoft.com/office/spreadsheetml/2010/11/main" uri="{B97F6D7D-B522-45F9-BDA1-12C45D357490}">
          <x15:cacheHierarchy aggregatedColumn="9"/>
        </ext>
      </extLst>
    </cacheHierarchy>
    <cacheHierarchy uniqueName="[Measures].[Sum of No. of Days with Employer]" caption="Sum of No. of Days with Employer" measure="1" displayFolder="" measureGroup="Sheet1" count="0" hidden="1">
      <extLst>
        <ext xmlns:x15="http://schemas.microsoft.com/office/spreadsheetml/2010/11/main" uri="{B97F6D7D-B522-45F9-BDA1-12C45D357490}">
          <x15:cacheHierarchy aggregatedColumn="10"/>
        </ext>
      </extLst>
    </cacheHierarchy>
    <cacheHierarchy uniqueName="[Measures].[Average of No. of Days with Employer]" caption="Average of No. of Days with Employer" measure="1" displayFolder="" measureGroup="Sheet1"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608486180"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nfa" refreshedDate="46160.467874884256" backgroundQuery="1" createdVersion="3" refreshedVersion="8" minRefreshableVersion="3" recordCount="0" supportSubquery="1" supportAdvancedDrill="1" xr:uid="{0FEDFE9E-E903-4D2A-8D5D-17F5ABC5B0BA}">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Sheet1].[Employee ID]" caption="Employee ID" attribute="1" defaultMemberUniqueName="[Sheet1].[Employee ID].[All]" allUniqueName="[Sheet1].[Employee ID].[All]" dimensionUniqueName="[Sheet1]" displayFolder="" count="0" memberValueDatatype="130" unbalanced="0"/>
    <cacheHierarchy uniqueName="[Sheet1].[Name]" caption="Name" attribute="1" defaultMemberUniqueName="[Sheet1].[Name].[All]" allUniqueName="[Sheet1].[Name].[All]" dimensionUniqueName="[Sheet1]" displayFolder="" count="0" memberValueDatatype="130" unbalanced="0"/>
    <cacheHierarchy uniqueName="[Sheet1].[First Name]" caption="First Name" attribute="1" defaultMemberUniqueName="[Sheet1].[First Name].[All]" allUniqueName="[Sheet1].[First Name].[All]" dimensionUniqueName="[Sheet1]" displayFolder="" count="0" memberValueDatatype="130" unbalanced="0"/>
    <cacheHierarchy uniqueName="[Sheet1].[Last Name]" caption="Last Name" attribute="1" defaultMemberUniqueName="[Sheet1].[Last Name].[All]" allUniqueName="[Sheet1].[Last Name].[All]" dimensionUniqueName="[Sheet1]" displayFolder="" count="0" memberValueDatatype="130" unbalanced="0"/>
    <cacheHierarchy uniqueName="[Sheet1].[Department]" caption="Department" attribute="1" defaultMemberUniqueName="[Sheet1].[Department].[All]" allUniqueName="[Sheet1].[Department].[All]" dimensionUniqueName="[Sheet1]" displayFolder="" count="0" memberValueDatatype="130" unbalanced="0"/>
    <cacheHierarchy uniqueName="[Sheet1].[Country]" caption="Country" attribute="1" defaultMemberUniqueName="[Sheet1].[Country].[All]" allUniqueName="[Sheet1].[Country].[All]" dimensionUniqueName="[Sheet1]" displayFolder="" count="0" memberValueDatatype="130" unbalanced="0"/>
    <cacheHierarchy uniqueName="[Sheet1].[Salary]" caption="Salary" attribute="1" defaultMemberUniqueName="[Sheet1].[Salary].[All]" allUniqueName="[Sheet1].[Salary].[All]" dimensionUniqueName="[Sheet1]" displayFolder="" count="0" memberValueDatatype="20" unbalanced="0"/>
    <cacheHierarchy uniqueName="[Sheet1].[Salary Status]" caption="Salary Status" attribute="1" defaultMemberUniqueName="[Sheet1].[Salary Status].[All]" allUniqueName="[Sheet1].[Salary Status].[All]" dimensionUniqueName="[Sheet1]" displayFolder="" count="0" memberValueDatatype="130" unbalanced="0"/>
    <cacheHierarchy uniqueName="[Sheet1].[Date of Joining]" caption="Date of Joining" attribute="1" time="1" defaultMemberUniqueName="[Sheet1].[Date of Joining].[All]" allUniqueName="[Sheet1].[Date of Joining].[All]" dimensionUniqueName="[Sheet1]" displayFolder="" count="2" memberValueDatatype="7" unbalanced="0"/>
    <cacheHierarchy uniqueName="[Sheet1].[Month of Joining]" caption="Month of Joining" attribute="1" defaultMemberUniqueName="[Sheet1].[Month of Joining].[All]" allUniqueName="[Sheet1].[Month of Joining].[All]" dimensionUniqueName="[Sheet1]" displayFolder="" count="0" memberValueDatatype="130" unbalanced="0"/>
    <cacheHierarchy uniqueName="[Sheet1].[No. of Days with Employer]" caption="No. of Days with Employer" attribute="1" defaultMemberUniqueName="[Sheet1].[No. of Days with Employer].[All]" allUniqueName="[Sheet1].[No. of Days with Employer].[All]" dimensionUniqueName="[Sheet1]" displayFolder="" count="0" memberValueDatatype="20" unbalanced="0"/>
    <cacheHierarchy uniqueName="[Sheet1].[Performance Rating]" caption="Performance Rating" attribute="1" defaultMemberUniqueName="[Sheet1].[Performance Rating].[All]" allUniqueName="[Sheet1].[Performance Rating].[All]" dimensionUniqueName="[Sheet1]" displayFolder="" count="0" memberValueDatatype="20" unbalanced="0"/>
    <cacheHierarchy uniqueName="[Sheet1].[Gender]" caption="Gender" attribute="1" defaultMemberUniqueName="[Sheet1].[Gender].[All]" allUniqueName="[Sheet1].[Gender].[All]" dimensionUniqueName="[Sheet1]" displayFolder="" count="0" memberValueDatatype="130" unbalanced="0"/>
    <cacheHierarchy uniqueName="[Sheet1].[Email]" caption="Email" attribute="1" defaultMemberUniqueName="[Sheet1].[Email].[All]" allUniqueName="[Sheet1].[Email].[All]" dimensionUniqueName="[Sheet1]" displayFolder="" count="0" memberValueDatatype="130" unbalanced="0"/>
    <cacheHierarchy uniqueName="[Sheet1].[Date of Joining (Year)]" caption="Date of Joining (Year)" attribute="1" defaultMemberUniqueName="[Sheet1].[Date of Joining (Year)].[All]" allUniqueName="[Sheet1].[Date of Joining (Year)].[All]" dimensionUniqueName="[Sheet1]" displayFolder="" count="0" memberValueDatatype="130" unbalanced="0"/>
    <cacheHierarchy uniqueName="[Sheet1].[Date of Joining (Quarter)]" caption="Date of Joining (Quarter)" attribute="1" defaultMemberUniqueName="[Sheet1].[Date of Joining (Quarter)].[All]" allUniqueName="[Sheet1].[Date of Joining (Quarter)].[All]" dimensionUniqueName="[Sheet1]" displayFolder="" count="0" memberValueDatatype="130" unbalanced="0"/>
    <cacheHierarchy uniqueName="[Sheet1].[Date of Joining (Month)]" caption="Date of Joining (Month)" attribute="1" defaultMemberUniqueName="[Sheet1].[Date of Joining (Month)].[All]" allUniqueName="[Sheet1].[Date of Joining (Month)].[All]" dimensionUniqueName="[Sheet1]" displayFolder="" count="0" memberValueDatatype="130" unbalanced="0"/>
    <cacheHierarchy uniqueName="[Sheet1].[Date of Joining (Month Index)]" caption="Date of Joining (Month Index)" attribute="1" defaultMemberUniqueName="[Sheet1].[Date of Joining (Month Index)].[All]" allUniqueName="[Sheet1].[Date of Joining (Month Index)].[All]" dimensionUniqueName="[Sheet1]" displayFolder="" count="0" memberValueDatatype="20" unbalanced="0" hidden="1"/>
    <cacheHierarchy uniqueName="[Measures].[__XL_Count Sheet1]" caption="__XL_Count Sheet1" measure="1" displayFolder="" measureGroup="Sheet1" count="0" hidden="1"/>
    <cacheHierarchy uniqueName="[Measures].[__No measures defined]" caption="__No measures defined" measure="1" displayFolder="" count="0" hidden="1"/>
    <cacheHierarchy uniqueName="[Measures].[Count of Employee ID]" caption="Count of Employee ID" measure="1" displayFolder="" measureGroup="Sheet1" count="0" hidden="1">
      <extLst>
        <ext xmlns:x15="http://schemas.microsoft.com/office/spreadsheetml/2010/11/main" uri="{B97F6D7D-B522-45F9-BDA1-12C45D357490}">
          <x15:cacheHierarchy aggregatedColumn="0"/>
        </ext>
      </extLst>
    </cacheHierarchy>
    <cacheHierarchy uniqueName="[Measures].[Sum of Salary]" caption="Sum of Salary" measure="1" displayFolder="" measureGroup="Sheet1" count="0" hidden="1">
      <extLst>
        <ext xmlns:x15="http://schemas.microsoft.com/office/spreadsheetml/2010/11/main" uri="{B97F6D7D-B522-45F9-BDA1-12C45D357490}">
          <x15:cacheHierarchy aggregatedColumn="6"/>
        </ext>
      </extLst>
    </cacheHierarchy>
    <cacheHierarchy uniqueName="[Measures].[Average of Salary]" caption="Average of Salary" measure="1" displayFolder="" measureGroup="Sheet1" count="0" hidden="1">
      <extLst>
        <ext xmlns:x15="http://schemas.microsoft.com/office/spreadsheetml/2010/11/main" uri="{B97F6D7D-B522-45F9-BDA1-12C45D357490}">
          <x15:cacheHierarchy aggregatedColumn="6"/>
        </ext>
      </extLst>
    </cacheHierarchy>
    <cacheHierarchy uniqueName="[Measures].[Count of Department]" caption="Count of Department" measure="1" displayFolder="" measureGroup="Sheet1" count="0" hidden="1">
      <extLst>
        <ext xmlns:x15="http://schemas.microsoft.com/office/spreadsheetml/2010/11/main" uri="{B97F6D7D-B522-45F9-BDA1-12C45D357490}">
          <x15:cacheHierarchy aggregatedColumn="4"/>
        </ext>
      </extLst>
    </cacheHierarchy>
    <cacheHierarchy uniqueName="[Measures].[Sum of Performance Rating]" caption="Sum of Performance Rating" measure="1" displayFolder="" measureGroup="Sheet1" count="0" hidden="1">
      <extLst>
        <ext xmlns:x15="http://schemas.microsoft.com/office/spreadsheetml/2010/11/main" uri="{B97F6D7D-B522-45F9-BDA1-12C45D357490}">
          <x15:cacheHierarchy aggregatedColumn="11"/>
        </ext>
      </extLst>
    </cacheHierarchy>
    <cacheHierarchy uniqueName="[Measures].[Average of Performance Rating]" caption="Average of Performance Rating" measure="1" displayFolder="" measureGroup="Sheet1" count="0" hidden="1">
      <extLst>
        <ext xmlns:x15="http://schemas.microsoft.com/office/spreadsheetml/2010/11/main" uri="{B97F6D7D-B522-45F9-BDA1-12C45D357490}">
          <x15:cacheHierarchy aggregatedColumn="11"/>
        </ext>
      </extLst>
    </cacheHierarchy>
    <cacheHierarchy uniqueName="[Measures].[Count of Month of Joining]" caption="Count of Month of Joining" measure="1" displayFolder="" measureGroup="Sheet1"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pivotCacheId="33601115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45EF7E-55C2-4337-9A41-585EA20011F6}" name="PivotTable10" cacheId="38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J57:K63"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Average of No. of Days with Employer" fld="1" subtotal="average" baseField="0" baseItem="0" numFmtId="1"/>
  </dataFields>
  <formats count="6">
    <format dxfId="1">
      <pivotArea type="all" dataOnly="0" outline="0" fieldPosition="0"/>
    </format>
    <format dxfId="2">
      <pivotArea outline="0" collapsedLevelsAreSubtotals="1" fieldPosition="0"/>
    </format>
    <format dxfId="3">
      <pivotArea dataOnly="0" labelOnly="1" grandRow="1" outline="0" fieldPosition="0"/>
    </format>
    <format dxfId="4">
      <pivotArea dataOnly="0" labelOnly="1" outline="0" axis="axisValues" fieldPosition="0"/>
    </format>
    <format dxfId="5">
      <pivotArea grandRow="1" outline="0" collapsedLevelsAreSubtotals="1" fieldPosition="0"/>
    </format>
    <format dxfId="0">
      <pivotArea outline="0" collapsedLevelsAreSubtotals="1" fieldPosition="0"/>
    </format>
  </formats>
  <chartFormats count="12">
    <chartFormat chart="28" format="0" series="1">
      <pivotArea type="data" outline="0" fieldPosition="0">
        <references count="1">
          <reference field="4294967294" count="1" selected="0">
            <x v="0"/>
          </reference>
        </references>
      </pivotArea>
    </chartFormat>
    <chartFormat chart="28" format="1">
      <pivotArea type="data" outline="0" fieldPosition="0">
        <references count="2">
          <reference field="4294967294" count="1" selected="0">
            <x v="0"/>
          </reference>
          <reference field="0" count="1" selected="0">
            <x v="1"/>
          </reference>
        </references>
      </pivotArea>
    </chartFormat>
    <chartFormat chart="28" format="2">
      <pivotArea type="data" outline="0" fieldPosition="0">
        <references count="2">
          <reference field="4294967294" count="1" selected="0">
            <x v="0"/>
          </reference>
          <reference field="0" count="1" selected="0">
            <x v="0"/>
          </reference>
        </references>
      </pivotArea>
    </chartFormat>
    <chartFormat chart="28" format="3">
      <pivotArea type="data" outline="0" fieldPosition="0">
        <references count="2">
          <reference field="4294967294" count="1" selected="0">
            <x v="0"/>
          </reference>
          <reference field="0" count="1" selected="0">
            <x v="4"/>
          </reference>
        </references>
      </pivotArea>
    </chartFormat>
    <chartFormat chart="28" format="4">
      <pivotArea type="data" outline="0" fieldPosition="0">
        <references count="2">
          <reference field="4294967294" count="1" selected="0">
            <x v="0"/>
          </reference>
          <reference field="0" count="1" selected="0">
            <x v="3"/>
          </reference>
        </references>
      </pivotArea>
    </chartFormat>
    <chartFormat chart="28" format="5">
      <pivotArea type="data" outline="0" fieldPosition="0">
        <references count="2">
          <reference field="4294967294" count="1" selected="0">
            <x v="0"/>
          </reference>
          <reference field="0" count="1" selected="0">
            <x v="2"/>
          </reference>
        </references>
      </pivotArea>
    </chartFormat>
    <chartFormat chart="30" format="12" series="1">
      <pivotArea type="data" outline="0" fieldPosition="0">
        <references count="1">
          <reference field="4294967294" count="1" selected="0">
            <x v="0"/>
          </reference>
        </references>
      </pivotArea>
    </chartFormat>
    <chartFormat chart="30" format="13">
      <pivotArea type="data" outline="0" fieldPosition="0">
        <references count="2">
          <reference field="4294967294" count="1" selected="0">
            <x v="0"/>
          </reference>
          <reference field="0" count="1" selected="0">
            <x v="0"/>
          </reference>
        </references>
      </pivotArea>
    </chartFormat>
    <chartFormat chart="30" format="14">
      <pivotArea type="data" outline="0" fieldPosition="0">
        <references count="2">
          <reference field="4294967294" count="1" selected="0">
            <x v="0"/>
          </reference>
          <reference field="0" count="1" selected="0">
            <x v="1"/>
          </reference>
        </references>
      </pivotArea>
    </chartFormat>
    <chartFormat chart="30" format="15">
      <pivotArea type="data" outline="0" fieldPosition="0">
        <references count="2">
          <reference field="4294967294" count="1" selected="0">
            <x v="0"/>
          </reference>
          <reference field="0" count="1" selected="0">
            <x v="2"/>
          </reference>
        </references>
      </pivotArea>
    </chartFormat>
    <chartFormat chart="30" format="16">
      <pivotArea type="data" outline="0" fieldPosition="0">
        <references count="2">
          <reference field="4294967294" count="1" selected="0">
            <x v="0"/>
          </reference>
          <reference field="0" count="1" selected="0">
            <x v="3"/>
          </reference>
        </references>
      </pivotArea>
    </chartFormat>
    <chartFormat chart="30" format="17">
      <pivotArea type="data" outline="0" fieldPosition="0">
        <references count="2">
          <reference field="4294967294" count="1" selected="0">
            <x v="0"/>
          </reference>
          <reference field="0" count="1" selected="0">
            <x v="4"/>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caption="Average of No. of Days with Employer"/>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 Import.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A2A7DF-FBAA-4B85-AA87-D8F6875A1386}" name="PivotTable8" cacheId="37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6">
  <location ref="A57:B60" firstHeaderRow="1" firstDataRow="1" firstDataCol="1"/>
  <pivotFields count="3">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1"/>
  </rowFields>
  <rowItems count="3">
    <i>
      <x/>
    </i>
    <i>
      <x v="1"/>
    </i>
    <i t="grand">
      <x/>
    </i>
  </rowItems>
  <colItems count="1">
    <i/>
  </colItems>
  <dataFields count="1">
    <dataField name="Count of Employee ID" fld="0" subtotal="count" baseField="0" baseItem="0"/>
  </dataFields>
  <formats count="5">
    <format dxfId="6">
      <pivotArea type="all" dataOnly="0" outline="0" fieldPosition="0"/>
    </format>
    <format dxfId="7">
      <pivotArea outline="0" collapsedLevelsAreSubtotals="1" fieldPosition="0"/>
    </format>
    <format dxfId="8">
      <pivotArea dataOnly="0" labelOnly="1" grandRow="1" outline="0" fieldPosition="0"/>
    </format>
    <format dxfId="9">
      <pivotArea dataOnly="0" labelOnly="1" outline="0" axis="axisValues" fieldPosition="0"/>
    </format>
    <format dxfId="10">
      <pivotArea grandRow="1"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2" type="dateBetween" evalOrder="-1" id="5" name="[Sheet1].[Date of Joining]">
      <autoFilter ref="A1">
        <filterColumn colId="0">
          <customFilters and="1">
            <customFilter operator="greaterThanOrEqual" val="43009"/>
            <customFilter operator="lessThanOrEqual" val="43039"/>
          </customFilters>
        </filterColumn>
      </autoFilter>
      <extLst>
        <ext xmlns:x15="http://schemas.microsoft.com/office/spreadsheetml/2010/11/main" uri="{0605FD5F-26C8-4aeb-8148-2DB25E43C511}">
          <x15:pivotFilter useWholeDay="1"/>
        </ext>
      </extLst>
    </filter>
  </filter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 Import.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349BA1-C22B-4CC6-B180-3D72B46A6BCA}" name="PivotTable7" cacheId="37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6">
  <location ref="L30:Y37" firstHeaderRow="1" firstDataRow="2" firstDataCol="1"/>
  <pivotFields count="3">
    <pivotField axis="axisRow" allDrilled="1" subtotalTop="0" showAll="0" defaultSubtotal="0" defaultAttributeDrillState="1">
      <items count="5">
        <item x="0"/>
        <item x="1"/>
        <item x="2"/>
        <item x="3"/>
        <item x="4"/>
      </items>
    </pivotField>
    <pivotField axis="axisCol"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6">
    <i>
      <x/>
    </i>
    <i>
      <x v="1"/>
    </i>
    <i>
      <x v="2"/>
    </i>
    <i>
      <x v="3"/>
    </i>
    <i>
      <x v="4"/>
    </i>
    <i t="grand">
      <x/>
    </i>
  </rowItems>
  <colFields count="1">
    <field x="1"/>
  </colFields>
  <colItems count="13">
    <i>
      <x/>
    </i>
    <i>
      <x v="1"/>
    </i>
    <i>
      <x v="2"/>
    </i>
    <i>
      <x v="3"/>
    </i>
    <i>
      <x v="4"/>
    </i>
    <i>
      <x v="5"/>
    </i>
    <i>
      <x v="6"/>
    </i>
    <i>
      <x v="7"/>
    </i>
    <i>
      <x v="8"/>
    </i>
    <i>
      <x v="9"/>
    </i>
    <i>
      <x v="10"/>
    </i>
    <i>
      <x v="11"/>
    </i>
    <i t="grand">
      <x/>
    </i>
  </colItems>
  <dataFields count="1">
    <dataField name="Count of Employee ID" fld="2" subtotal="count" baseField="0" baseItem="0"/>
  </dataFields>
  <formats count="5">
    <format dxfId="11">
      <pivotArea type="all" dataOnly="0" outline="0" fieldPosition="0"/>
    </format>
    <format dxfId="12">
      <pivotArea outline="0" collapsedLevelsAreSubtotals="1" fieldPosition="0"/>
    </format>
    <format dxfId="13">
      <pivotArea dataOnly="0" labelOnly="1" grandRow="1" outline="0" fieldPosition="0"/>
    </format>
    <format dxfId="14">
      <pivotArea dataOnly="0" labelOnly="1" outline="0" axis="axisValues" fieldPosition="0"/>
    </format>
    <format dxfId="15">
      <pivotArea grandRow="1" outline="0" collapsedLevelsAreSubtotals="1" fieldPosition="0"/>
    </format>
  </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caption="Average of Performance Rating"/>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 Import.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71D2214-2310-42A2-B425-C83428775518}" name="PivotTable6" cacheId="37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6">
  <location ref="H30:J36"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name="Average of Salary" fld="1" subtotal="average" baseField="0" baseItem="0" numFmtId="4"/>
    <dataField name="Average of Performance Rating" fld="2" subtotal="average" baseField="0" baseItem="0" numFmtId="2"/>
  </dataFields>
  <formats count="7">
    <format dxfId="18">
      <pivotArea type="all" dataOnly="0" outline="0" fieldPosition="0"/>
    </format>
    <format dxfId="19">
      <pivotArea outline="0" collapsedLevelsAreSubtotals="1" fieldPosition="0"/>
    </format>
    <format dxfId="20">
      <pivotArea dataOnly="0" labelOnly="1" grandRow="1" outline="0" fieldPosition="0"/>
    </format>
    <format dxfId="21">
      <pivotArea dataOnly="0" labelOnly="1" outline="0" axis="axisValues" fieldPosition="0"/>
    </format>
    <format dxfId="22">
      <pivotArea grandRow="1" outline="0" collapsedLevelsAreSubtotals="1" fieldPosition="0"/>
    </format>
    <format dxfId="23">
      <pivotArea outline="0" collapsedLevelsAreSubtotals="1" fieldPosition="0">
        <references count="1">
          <reference field="4294967294" count="1" selected="0">
            <x v="0"/>
          </reference>
        </references>
      </pivotArea>
    </format>
    <format dxfId="17">
      <pivotArea outline="0" collapsedLevelsAreSubtotals="1" fieldPosition="0">
        <references count="1">
          <reference field="4294967294" count="1" selected="0">
            <x v="1"/>
          </reference>
        </references>
      </pivotArea>
    </format>
  </formats>
  <chartFormats count="4">
    <chartFormat chart="35" format="0" series="1">
      <pivotArea type="data" outline="0" fieldPosition="0">
        <references count="1">
          <reference field="4294967294" count="1" selected="0">
            <x v="0"/>
          </reference>
        </references>
      </pivotArea>
    </chartFormat>
    <chartFormat chart="35" format="1" series="1">
      <pivotArea type="data" outline="0" fieldPosition="0">
        <references count="1">
          <reference field="4294967294" count="1" selected="0">
            <x v="1"/>
          </reference>
        </references>
      </pivotArea>
    </chartFormat>
    <chartFormat chart="39" format="4" series="1">
      <pivotArea type="data" outline="0" fieldPosition="0">
        <references count="1">
          <reference field="4294967294" count="1" selected="0">
            <x v="0"/>
          </reference>
        </references>
      </pivotArea>
    </chartFormat>
    <chartFormat chart="39" format="5" series="1">
      <pivotArea type="data" outline="0" fieldPosition="0">
        <references count="1">
          <reference field="4294967294" count="1" selected="0">
            <x v="1"/>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caption="Average of Performance Rating"/>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 Import.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6AA879B-88A7-425F-B390-D733C5134814}" name="PivotTable5" cacheId="38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location ref="A30:F37" firstHeaderRow="1" firstDataRow="2" firstDataCol="1"/>
  <pivotFields count="3">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1"/>
  </rowFields>
  <rowItems count="6">
    <i>
      <x/>
    </i>
    <i>
      <x v="1"/>
    </i>
    <i>
      <x v="2"/>
    </i>
    <i>
      <x v="3"/>
    </i>
    <i>
      <x v="4"/>
    </i>
    <i t="grand">
      <x/>
    </i>
  </rowItems>
  <colFields count="1">
    <field x="0"/>
  </colFields>
  <colItems count="5">
    <i>
      <x/>
    </i>
    <i>
      <x v="1"/>
    </i>
    <i>
      <x v="2"/>
    </i>
    <i>
      <x v="3"/>
    </i>
    <i t="grand">
      <x/>
    </i>
  </colItems>
  <dataFields count="1">
    <dataField name="Count of Employee ID" fld="2" subtotal="count" baseField="1" baseItem="0"/>
  </dataFields>
  <formats count="5">
    <format dxfId="24">
      <pivotArea type="all" dataOnly="0" outline="0" fieldPosition="0"/>
    </format>
    <format dxfId="25">
      <pivotArea outline="0" collapsedLevelsAreSubtotals="1" fieldPosition="0"/>
    </format>
    <format dxfId="26">
      <pivotArea dataOnly="0" labelOnly="1" grandRow="1" outline="0" fieldPosition="0"/>
    </format>
    <format dxfId="27">
      <pivotArea dataOnly="0" labelOnly="1" outline="0" axis="axisValues" fieldPosition="0"/>
    </format>
    <format dxfId="28">
      <pivotArea grandRow="1" outline="0" collapsedLevelsAreSubtotals="1" fieldPosition="0"/>
    </format>
  </formats>
  <chartFormats count="8">
    <chartFormat chart="31" format="0" series="1">
      <pivotArea type="data" outline="0" fieldPosition="0">
        <references count="2">
          <reference field="4294967294" count="1" selected="0">
            <x v="0"/>
          </reference>
          <reference field="0" count="1" selected="0">
            <x v="0"/>
          </reference>
        </references>
      </pivotArea>
    </chartFormat>
    <chartFormat chart="31" format="1" series="1">
      <pivotArea type="data" outline="0" fieldPosition="0">
        <references count="2">
          <reference field="4294967294" count="1" selected="0">
            <x v="0"/>
          </reference>
          <reference field="0" count="1" selected="0">
            <x v="1"/>
          </reference>
        </references>
      </pivotArea>
    </chartFormat>
    <chartFormat chart="31" format="2" series="1">
      <pivotArea type="data" outline="0" fieldPosition="0">
        <references count="2">
          <reference field="4294967294" count="1" selected="0">
            <x v="0"/>
          </reference>
          <reference field="0" count="1" selected="0">
            <x v="2"/>
          </reference>
        </references>
      </pivotArea>
    </chartFormat>
    <chartFormat chart="31" format="3" series="1">
      <pivotArea type="data" outline="0" fieldPosition="0">
        <references count="2">
          <reference field="4294967294" count="1" selected="0">
            <x v="0"/>
          </reference>
          <reference field="0" count="1" selected="0">
            <x v="3"/>
          </reference>
        </references>
      </pivotArea>
    </chartFormat>
    <chartFormat chart="35" format="8" series="1">
      <pivotArea type="data" outline="0" fieldPosition="0">
        <references count="2">
          <reference field="4294967294" count="1" selected="0">
            <x v="0"/>
          </reference>
          <reference field="0" count="1" selected="0">
            <x v="0"/>
          </reference>
        </references>
      </pivotArea>
    </chartFormat>
    <chartFormat chart="35" format="9" series="1">
      <pivotArea type="data" outline="0" fieldPosition="0">
        <references count="2">
          <reference field="4294967294" count="1" selected="0">
            <x v="0"/>
          </reference>
          <reference field="0" count="1" selected="0">
            <x v="1"/>
          </reference>
        </references>
      </pivotArea>
    </chartFormat>
    <chartFormat chart="35" format="10" series="1">
      <pivotArea type="data" outline="0" fieldPosition="0">
        <references count="2">
          <reference field="4294967294" count="1" selected="0">
            <x v="0"/>
          </reference>
          <reference field="0" count="1" selected="0">
            <x v="2"/>
          </reference>
        </references>
      </pivotArea>
    </chartFormat>
    <chartFormat chart="35" format="11" series="1">
      <pivotArea type="data" outline="0" fieldPosition="0">
        <references count="2">
          <reference field="4294967294" count="1" selected="0">
            <x v="0"/>
          </reference>
          <reference field="0" count="1" selected="0">
            <x v="3"/>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 Import.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1B3E6FB-0AC6-4ED6-9AD4-5DD29A5386CC}" name="PivotTable3" cacheId="3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K3:L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Employee ID" fld="1" subtotal="count" baseField="0" baseItem="0"/>
  </dataFields>
  <formats count="5">
    <format dxfId="29">
      <pivotArea type="all" dataOnly="0" outline="0" fieldPosition="0"/>
    </format>
    <format dxfId="30">
      <pivotArea outline="0" collapsedLevelsAreSubtotals="1" fieldPosition="0"/>
    </format>
    <format dxfId="31">
      <pivotArea dataOnly="0" labelOnly="1" grandRow="1" outline="0" fieldPosition="0"/>
    </format>
    <format dxfId="32">
      <pivotArea dataOnly="0" labelOnly="1" outline="0" axis="axisValues" fieldPosition="0"/>
    </format>
    <format dxfId="33">
      <pivotArea grandRow="1" outline="0" collapsedLevelsAreSubtotals="1" fieldPosition="0"/>
    </format>
  </formats>
  <chartFormats count="5">
    <chartFormat chart="25" format="0"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 chart="27" format="6">
      <pivotArea type="data" outline="0" fieldPosition="0">
        <references count="2">
          <reference field="4294967294" count="1" selected="0">
            <x v="0"/>
          </reference>
          <reference field="0" count="1" selected="0">
            <x v="0"/>
          </reference>
        </references>
      </pivotArea>
    </chartFormat>
    <chartFormat chart="27" format="7">
      <pivotArea type="data" outline="0" fieldPosition="0">
        <references count="2">
          <reference field="4294967294" count="1" selected="0">
            <x v="0"/>
          </reference>
          <reference field="0" count="1" selected="0">
            <x v="1"/>
          </reference>
        </references>
      </pivotArea>
    </chartFormat>
    <chartFormat chart="27" format="8">
      <pivotArea type="data" outline="0" fieldPosition="0">
        <references count="2">
          <reference field="4294967294" count="1" selected="0">
            <x v="0"/>
          </reference>
          <reference field="0" count="1" selected="0">
            <x v="2"/>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 Import.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50D01D-0D53-4627-A151-D938C757C333}" name="PivotTable2" cacheId="37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E3:F9"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Average of Salary" fld="1" subtotal="average" baseField="0" baseItem="0"/>
  </dataFields>
  <formats count="6">
    <format dxfId="36">
      <pivotArea type="all" dataOnly="0" outline="0" fieldPosition="0"/>
    </format>
    <format dxfId="37">
      <pivotArea outline="0" collapsedLevelsAreSubtotals="1" fieldPosition="0"/>
    </format>
    <format dxfId="38">
      <pivotArea dataOnly="0" labelOnly="1" grandRow="1" outline="0" fieldPosition="0"/>
    </format>
    <format dxfId="39">
      <pivotArea dataOnly="0" labelOnly="1" outline="0" axis="axisValues" fieldPosition="0"/>
    </format>
    <format dxfId="35">
      <pivotArea collapsedLevelsAreSubtotals="1" fieldPosition="0">
        <references count="1">
          <reference field="0" count="0"/>
        </references>
      </pivotArea>
    </format>
    <format dxfId="34">
      <pivotArea grandRow="1" outline="0" collapsedLevelsAreSubtotals="1" fieldPosition="0"/>
    </format>
  </formats>
  <chartFormats count="2">
    <chartFormat chart="20"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caption="Average of Sala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 Import.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85CC656-F85D-4591-937D-FEEA1F821FE3}" name="PivotTable1" cacheId="38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3:B9"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Count of Employee ID" fld="0" subtotal="count" baseField="0" baseItem="0"/>
  </dataFields>
  <formats count="6">
    <format dxfId="45">
      <pivotArea type="all" dataOnly="0" outline="0" fieldPosition="0"/>
    </format>
    <format dxfId="44">
      <pivotArea outline="0" collapsedLevelsAreSubtotals="1" fieldPosition="0"/>
    </format>
    <format dxfId="43">
      <pivotArea field="1" type="button" dataOnly="0" labelOnly="1" outline="0" axis="axisRow" fieldPosition="0"/>
    </format>
    <format dxfId="42">
      <pivotArea dataOnly="0" labelOnly="1" fieldPosition="0">
        <references count="1">
          <reference field="1" count="0"/>
        </references>
      </pivotArea>
    </format>
    <format dxfId="41">
      <pivotArea dataOnly="0" labelOnly="1" grandRow="1" outline="0" fieldPosition="0"/>
    </format>
    <format dxfId="40">
      <pivotArea dataOnly="0" labelOnly="1" outline="0" axis="axisValues" fieldPosition="0"/>
    </format>
  </formats>
  <chartFormats count="2">
    <chartFormat chart="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Employee_Details Import.xlsx!Sheet1">
        <x15:activeTabTopLevelEntity name="[Sheet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D7E39CE-53AB-4C3D-8F21-1C27FFD258FF}" autoFormatId="16" applyNumberFormats="0" applyBorderFormats="0" applyFontFormats="0" applyPatternFormats="0" applyAlignmentFormats="0" applyWidthHeightFormats="0">
  <queryTableRefresh nextId="19">
    <queryTableFields count="14">
      <queryTableField id="1" name="Employee ID" tableColumnId="1"/>
      <queryTableField id="2" name="Name" tableColumnId="2"/>
      <queryTableField id="15" dataBound="0" tableColumnId="18"/>
      <queryTableField id="16" dataBound="0" tableColumnId="19"/>
      <queryTableField id="3" name="Department" tableColumnId="3"/>
      <queryTableField id="4" name="Country" tableColumnId="4"/>
      <queryTableField id="5" name="Salary" tableColumnId="5"/>
      <queryTableField id="10" dataBound="0" tableColumnId="12"/>
      <queryTableField id="6" name="Date of Joining" tableColumnId="6"/>
      <queryTableField id="18" dataBound="0" tableColumnId="10"/>
      <queryTableField id="17" dataBound="0" tableColumnId="20"/>
      <queryTableField id="7" name="Performance Rating" tableColumnId="7"/>
      <queryTableField id="8" name="Gender" tableColumnId="8"/>
      <queryTableField id="9" name="Email"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1BC5BD5-C8BC-4BC8-BDDC-AD1A0497D58E}" sourceName="[Sheet1].[Department]">
  <pivotTables>
    <pivotTable tabId="3" name="PivotTable1"/>
  </pivotTables>
  <data>
    <olap pivotCacheId="608486180">
      <levels count="2">
        <level uniqueName="[Sheet1].[Department].[(All)]" sourceCaption="(All)" count="0"/>
        <level uniqueName="[Sheet1].[Department].[Department]" sourceCaption="Department" count="5">
          <ranges>
            <range startItem="0">
              <i n="[Sheet1].[Department].&amp;[Finance]" c="Finance"/>
              <i n="[Sheet1].[Department].&amp;[HR]" c="HR"/>
              <i n="[Sheet1].[Department].&amp;[IT]" c="IT"/>
              <i n="[Sheet1].[Department].&amp;[Marketing]" c="Marketing"/>
              <i n="[Sheet1].[Department].&amp;[Sales]" c="Sales"/>
            </range>
          </ranges>
        </level>
      </levels>
      <selections count="1">
        <selection n="[Sheet1].[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9E3E1E0-569C-4A8F-8093-0A292C0593F4}" sourceName="[Sheet1].[Gender]">
  <pivotTables>
    <pivotTable tabId="3" name="PivotTable5"/>
  </pivotTables>
  <data>
    <olap pivotCacheId="608486180">
      <levels count="2">
        <level uniqueName="[Sheet1].[Gender].[(All)]" sourceCaption="(All)" count="0"/>
        <level uniqueName="[Sheet1].[Gender].[Gender]" sourceCaption="Gender" count="4">
          <ranges>
            <range startItem="0">
              <i n="[Sheet1].[Gender].&amp;[Female]" c="Female"/>
              <i n="[Sheet1].[Gender].&amp;[Male]" c="Male"/>
              <i n="[Sheet1].[Gender].&amp;[Not Specified]" c="Not Specified"/>
              <i n="[Sheet1].[Gender].&amp;[Other]" c="Other"/>
            </range>
          </ranges>
        </level>
      </levels>
      <selections count="1">
        <selection n="[Sheet1].[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C9A41D8A-5FB4-4C92-A824-2065869697C0}" cache="Slicer_Department" caption="Department" level="1" rowHeight="257175"/>
  <slicer name="Gender" xr10:uid="{A4CEB849-4B31-4181-96D6-904CE8C6CEA2}" cache="Slicer_Gender" caption="Gender"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7B74C9-89E8-46AD-9766-CA444246D910}" name="Sheet1" displayName="Sheet1" ref="A1:N141" tableType="queryTable" totalsRowShown="0" headerRowDxfId="62" headerRowBorderDxfId="61" tableBorderDxfId="60" totalsRowBorderDxfId="59">
  <tableColumns count="14">
    <tableColumn id="1" xr3:uid="{6AA36BF7-CDFC-4ACE-8C64-D9636D129BF9}" uniqueName="1" name="Employee ID" queryTableFieldId="1" dataDxfId="58"/>
    <tableColumn id="2" xr3:uid="{01FD7E9A-FDEE-4120-B2B2-C7CA0DA1BDAE}" uniqueName="2" name="Name" queryTableFieldId="2" dataDxfId="57"/>
    <tableColumn id="18" xr3:uid="{30B6243A-FD67-4E2A-A010-A26DD4875D76}" uniqueName="18" name="First Name" queryTableFieldId="15" dataDxfId="56"/>
    <tableColumn id="19" xr3:uid="{23783BBB-ABAD-4332-91A6-61F51BE2FB96}" uniqueName="19" name="Last Name" queryTableFieldId="16" dataDxfId="55"/>
    <tableColumn id="3" xr3:uid="{05CA7B6B-B59B-4E66-A525-CC9BDFCD154C}" uniqueName="3" name="Department" queryTableFieldId="3" dataDxfId="54"/>
    <tableColumn id="4" xr3:uid="{D1364A89-B70D-4AA5-A255-6B89FB198B57}" uniqueName="4" name="Country" queryTableFieldId="4" dataDxfId="53"/>
    <tableColumn id="5" xr3:uid="{C8DC9DEC-B6AE-43B2-83D5-F9B6814B48D9}" uniqueName="5" name="Salary" queryTableFieldId="5" dataDxfId="46"/>
    <tableColumn id="12" xr3:uid="{6A8ECE6A-676A-44C5-A741-FD3CC7352706}" uniqueName="12" name="Salary Status" queryTableFieldId="10" dataDxfId="52">
      <calculatedColumnFormula>IF(Sheet1[[#This Row],[Salary]]&lt;40000,"Low Salary",IF(Sheet1[[#This Row],[Salary]]&lt;=70000,"Good Salary","High Salary"))</calculatedColumnFormula>
    </tableColumn>
    <tableColumn id="6" xr3:uid="{C3C0E5D5-01D4-4AA2-A364-A192C68447E9}" uniqueName="6" name="Date of Joining" queryTableFieldId="6" dataDxfId="51"/>
    <tableColumn id="10" xr3:uid="{C64542AE-E0B3-4853-A768-B18A3E5C9B15}" uniqueName="10" name="Month of Joining" queryTableFieldId="18" dataDxfId="16">
      <calculatedColumnFormula>MONTH(Sheet1[[#This Row],[Date of Joining]])</calculatedColumnFormula>
    </tableColumn>
    <tableColumn id="20" xr3:uid="{151A094F-D51D-4B7B-929B-DE2A7DAFFE01}" uniqueName="20" name="No. of Days with Employer" queryTableFieldId="17" dataDxfId="50">
      <calculatedColumnFormula>DATEDIF(Sheet1[[#This Row],[Date of Joining]],TODAY(),"d")</calculatedColumnFormula>
    </tableColumn>
    <tableColumn id="7" xr3:uid="{70CB0068-921B-4DF1-B4A3-83207A19E840}" uniqueName="7" name="Performance Rating" queryTableFieldId="7" dataDxfId="49"/>
    <tableColumn id="8" xr3:uid="{10686F91-4C8A-4033-A0D9-1B1F879CD629}" uniqueName="8" name="Gender" queryTableFieldId="8" dataDxfId="48"/>
    <tableColumn id="9" xr3:uid="{7C414CCE-5177-477F-926F-5CEBF59864C3}" uniqueName="9" name="Email" queryTableFieldId="9" dataDxfId="4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_of_Joining" xr10:uid="{F96DF7B3-6ECD-416F-8F21-ACFE514C78AE}" sourceName="[Sheet1].[Date of Joining]">
  <pivotTables>
    <pivotTable tabId="3" name="PivotTable8"/>
  </pivotTables>
  <state minimalRefreshVersion="6" lastRefreshVersion="6" pivotCacheId="336011159" filterType="dateBetween">
    <selection startDate="2017-10-01T00:00:00" endDate="2017-10-31T00:00:00"/>
    <bounds startDate="2015-01-01T00:00:00" endDate="201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of Joining" xr10:uid="{1A0F83D9-6EAE-4D5B-9FAD-FA299873B629}" cache="Timeline_Date_of_Joining" caption="Date of Joining" level="2" selectionLevel="2" scrollPosition="2017-05-19T00:00:00"/>
</timelines>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11/relationships/timeline" Target="../timelines/timeline1.xml"/><Relationship Id="rId4" Type="http://schemas.openxmlformats.org/officeDocument/2006/relationships/pivotTable" Target="../pivotTables/pivotTable4.xm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B0DB5-0360-47F4-880E-F6A1940A2940}">
  <dimension ref="A1:X37"/>
  <sheetViews>
    <sheetView showGridLines="0" tabSelected="1" workbookViewId="0">
      <selection activeCell="X20" sqref="X20"/>
    </sheetView>
  </sheetViews>
  <sheetFormatPr defaultRowHeight="15" x14ac:dyDescent="0.25"/>
  <sheetData>
    <row r="1" spans="1:24" ht="15" customHeight="1" x14ac:dyDescent="0.25">
      <c r="A1" s="38" t="s">
        <v>341</v>
      </c>
      <c r="B1" s="38"/>
      <c r="C1" s="38"/>
      <c r="D1" s="38"/>
      <c r="E1" s="38"/>
      <c r="F1" s="38"/>
      <c r="G1" s="38"/>
      <c r="H1" s="38"/>
      <c r="I1" s="38"/>
      <c r="J1" s="38"/>
      <c r="K1" s="38"/>
      <c r="L1" s="38"/>
      <c r="M1" s="38"/>
      <c r="N1" s="38"/>
      <c r="O1" s="38"/>
      <c r="P1" s="38"/>
      <c r="Q1" s="38"/>
      <c r="R1" s="38"/>
      <c r="S1" s="38"/>
      <c r="T1" s="38"/>
      <c r="U1" s="38"/>
      <c r="V1" s="38"/>
      <c r="W1" s="38"/>
      <c r="X1" s="38"/>
    </row>
    <row r="2" spans="1:24" ht="15" customHeight="1" x14ac:dyDescent="0.25">
      <c r="A2" s="38"/>
      <c r="B2" s="38"/>
      <c r="C2" s="38"/>
      <c r="D2" s="38"/>
      <c r="E2" s="38"/>
      <c r="F2" s="38"/>
      <c r="G2" s="38"/>
      <c r="H2" s="38"/>
      <c r="I2" s="38"/>
      <c r="J2" s="38"/>
      <c r="K2" s="38"/>
      <c r="L2" s="38"/>
      <c r="M2" s="38"/>
      <c r="N2" s="38"/>
      <c r="O2" s="38"/>
      <c r="P2" s="38"/>
      <c r="Q2" s="38"/>
      <c r="R2" s="38"/>
      <c r="S2" s="38"/>
      <c r="T2" s="38"/>
      <c r="U2" s="38"/>
      <c r="V2" s="38"/>
      <c r="W2" s="38"/>
      <c r="X2" s="38"/>
    </row>
    <row r="3" spans="1:24" x14ac:dyDescent="0.25">
      <c r="A3" s="39"/>
      <c r="B3" s="39"/>
      <c r="C3" s="39"/>
      <c r="D3" s="39"/>
      <c r="E3" s="39"/>
      <c r="F3" s="39"/>
      <c r="G3" s="39"/>
      <c r="H3" s="39"/>
      <c r="I3" s="39"/>
      <c r="J3" s="39"/>
      <c r="K3" s="39"/>
      <c r="L3" s="39"/>
      <c r="M3" s="39"/>
      <c r="N3" s="39"/>
      <c r="O3" s="39"/>
      <c r="P3" s="39"/>
      <c r="Q3" s="39"/>
      <c r="R3" s="39"/>
      <c r="S3" s="39"/>
      <c r="T3" s="39"/>
      <c r="U3" s="39"/>
      <c r="V3" s="39"/>
      <c r="W3" s="39"/>
      <c r="X3" s="39"/>
    </row>
    <row r="4" spans="1:24" x14ac:dyDescent="0.25">
      <c r="A4" s="39"/>
      <c r="B4" s="39"/>
      <c r="C4" s="39"/>
      <c r="D4" s="39"/>
      <c r="E4" s="39"/>
      <c r="F4" s="39"/>
      <c r="G4" s="39"/>
      <c r="H4" s="39"/>
      <c r="I4" s="39"/>
      <c r="J4" s="39"/>
      <c r="K4" s="39"/>
      <c r="L4" s="39"/>
      <c r="M4" s="39"/>
      <c r="N4" s="39"/>
      <c r="O4" s="39"/>
      <c r="P4" s="39"/>
      <c r="Q4" s="39"/>
      <c r="R4" s="39"/>
      <c r="S4" s="39"/>
      <c r="T4" s="39"/>
      <c r="U4" s="39"/>
      <c r="V4" s="39"/>
      <c r="W4" s="39"/>
      <c r="X4" s="39"/>
    </row>
    <row r="5" spans="1:24" x14ac:dyDescent="0.25">
      <c r="A5" s="39"/>
      <c r="B5" s="39"/>
      <c r="C5" s="39"/>
      <c r="D5" s="39"/>
      <c r="E5" s="39"/>
      <c r="F5" s="39"/>
      <c r="G5" s="39"/>
      <c r="H5" s="39"/>
      <c r="I5" s="39"/>
      <c r="J5" s="39"/>
      <c r="K5" s="39"/>
      <c r="L5" s="39"/>
      <c r="M5" s="39"/>
      <c r="N5" s="39"/>
      <c r="O5" s="39"/>
      <c r="P5" s="39"/>
      <c r="Q5" s="39"/>
      <c r="R5" s="39"/>
      <c r="S5" s="39"/>
      <c r="T5" s="39"/>
      <c r="U5" s="39"/>
      <c r="V5" s="39"/>
      <c r="W5" s="39"/>
      <c r="X5" s="39"/>
    </row>
    <row r="6" spans="1:24" x14ac:dyDescent="0.25">
      <c r="A6" s="39"/>
      <c r="B6" s="39"/>
      <c r="C6" s="39"/>
      <c r="D6" s="39"/>
      <c r="E6" s="39"/>
      <c r="F6" s="39"/>
      <c r="G6" s="39"/>
      <c r="H6" s="39"/>
      <c r="I6" s="39"/>
      <c r="J6" s="39"/>
      <c r="K6" s="39"/>
      <c r="L6" s="39"/>
      <c r="M6" s="39"/>
      <c r="N6" s="39"/>
      <c r="O6" s="39"/>
      <c r="P6" s="39"/>
      <c r="Q6" s="39"/>
      <c r="R6" s="39"/>
      <c r="S6" s="39"/>
      <c r="T6" s="39"/>
      <c r="U6" s="39"/>
      <c r="V6" s="39"/>
      <c r="W6" s="39"/>
      <c r="X6" s="39"/>
    </row>
    <row r="7" spans="1:24" x14ac:dyDescent="0.25">
      <c r="A7" s="39"/>
      <c r="B7" s="39"/>
      <c r="C7" s="39"/>
      <c r="D7" s="39"/>
      <c r="E7" s="39"/>
      <c r="F7" s="39"/>
      <c r="G7" s="39"/>
      <c r="H7" s="39"/>
      <c r="I7" s="39"/>
      <c r="J7" s="39"/>
      <c r="K7" s="39"/>
      <c r="L7" s="39"/>
      <c r="M7" s="39"/>
      <c r="N7" s="39"/>
      <c r="O7" s="39"/>
      <c r="P7" s="39"/>
      <c r="Q7" s="39"/>
      <c r="R7" s="39"/>
      <c r="S7" s="39"/>
      <c r="T7" s="39"/>
      <c r="U7" s="39"/>
      <c r="V7" s="39"/>
      <c r="W7" s="39"/>
      <c r="X7" s="39"/>
    </row>
    <row r="8" spans="1:24" x14ac:dyDescent="0.25">
      <c r="A8" s="39"/>
      <c r="B8" s="39"/>
      <c r="C8" s="39"/>
      <c r="D8" s="39"/>
      <c r="E8" s="39"/>
      <c r="F8" s="39"/>
      <c r="G8" s="39"/>
      <c r="H8" s="39"/>
      <c r="I8" s="39"/>
      <c r="J8" s="39"/>
      <c r="K8" s="39"/>
      <c r="L8" s="39"/>
      <c r="M8" s="39"/>
      <c r="N8" s="39"/>
      <c r="O8" s="39"/>
      <c r="P8" s="39"/>
      <c r="Q8" s="39"/>
      <c r="R8" s="39"/>
      <c r="S8" s="39"/>
      <c r="T8" s="39"/>
      <c r="U8" s="39"/>
      <c r="V8" s="39"/>
      <c r="W8" s="39"/>
      <c r="X8" s="39"/>
    </row>
    <row r="9" spans="1:24" x14ac:dyDescent="0.25">
      <c r="A9" s="39"/>
      <c r="B9" s="39"/>
      <c r="C9" s="39"/>
      <c r="D9" s="39"/>
      <c r="E9" s="39"/>
      <c r="F9" s="39"/>
      <c r="G9" s="39"/>
      <c r="H9" s="39"/>
      <c r="I9" s="39"/>
      <c r="J9" s="39"/>
      <c r="K9" s="39"/>
      <c r="L9" s="39"/>
      <c r="M9" s="39"/>
      <c r="N9" s="39"/>
      <c r="O9" s="39"/>
      <c r="P9" s="39"/>
      <c r="Q9" s="39"/>
      <c r="R9" s="39"/>
      <c r="S9" s="39"/>
      <c r="T9" s="39"/>
      <c r="U9" s="39"/>
      <c r="V9" s="39"/>
      <c r="W9" s="39"/>
      <c r="X9" s="39"/>
    </row>
    <row r="10" spans="1:24" x14ac:dyDescent="0.25">
      <c r="A10" s="39"/>
      <c r="B10" s="39"/>
      <c r="C10" s="39"/>
      <c r="D10" s="39"/>
      <c r="E10" s="39"/>
      <c r="F10" s="39"/>
      <c r="G10" s="39"/>
      <c r="H10" s="39"/>
      <c r="I10" s="39"/>
      <c r="J10" s="39"/>
      <c r="K10" s="39"/>
      <c r="L10" s="39"/>
      <c r="M10" s="39"/>
      <c r="N10" s="39"/>
      <c r="O10" s="39"/>
      <c r="P10" s="39"/>
      <c r="Q10" s="39"/>
      <c r="R10" s="39"/>
      <c r="S10" s="39"/>
      <c r="T10" s="39"/>
      <c r="U10" s="39"/>
      <c r="V10" s="39"/>
      <c r="W10" s="39"/>
      <c r="X10" s="39"/>
    </row>
    <row r="11" spans="1:24" x14ac:dyDescent="0.25">
      <c r="A11" s="39"/>
      <c r="B11" s="39"/>
      <c r="C11" s="39"/>
      <c r="D11" s="39"/>
      <c r="E11" s="39"/>
      <c r="F11" s="39"/>
      <c r="G11" s="39"/>
      <c r="H11" s="39"/>
      <c r="I11" s="39"/>
      <c r="J11" s="39"/>
      <c r="K11" s="39"/>
      <c r="L11" s="39"/>
      <c r="M11" s="39"/>
      <c r="N11" s="39"/>
      <c r="O11" s="39"/>
      <c r="P11" s="39"/>
      <c r="Q11" s="39"/>
      <c r="R11" s="39"/>
      <c r="S11" s="39"/>
      <c r="T11" s="39"/>
      <c r="U11" s="39"/>
      <c r="V11" s="39"/>
      <c r="W11" s="39"/>
      <c r="X11" s="39"/>
    </row>
    <row r="12" spans="1:24" x14ac:dyDescent="0.25">
      <c r="A12" s="39"/>
      <c r="B12" s="39"/>
      <c r="C12" s="39"/>
      <c r="D12" s="39"/>
      <c r="E12" s="39"/>
      <c r="F12" s="39"/>
      <c r="G12" s="39"/>
      <c r="H12" s="39"/>
      <c r="I12" s="39"/>
      <c r="J12" s="39"/>
      <c r="K12" s="39"/>
      <c r="L12" s="39"/>
      <c r="M12" s="39"/>
      <c r="N12" s="39"/>
      <c r="O12" s="39"/>
      <c r="P12" s="39"/>
      <c r="Q12" s="39"/>
      <c r="R12" s="39"/>
      <c r="S12" s="39"/>
      <c r="T12" s="39"/>
      <c r="U12" s="39"/>
      <c r="V12" s="39"/>
      <c r="W12" s="39"/>
      <c r="X12" s="39"/>
    </row>
    <row r="13" spans="1:24" x14ac:dyDescent="0.25">
      <c r="A13" s="39"/>
      <c r="B13" s="39"/>
      <c r="C13" s="39"/>
      <c r="D13" s="39"/>
      <c r="E13" s="39"/>
      <c r="F13" s="39"/>
      <c r="G13" s="39"/>
      <c r="H13" s="39"/>
      <c r="I13" s="39"/>
      <c r="J13" s="39"/>
      <c r="K13" s="39"/>
      <c r="L13" s="39"/>
      <c r="M13" s="39"/>
      <c r="N13" s="39"/>
      <c r="O13" s="39"/>
      <c r="P13" s="39"/>
      <c r="Q13" s="39"/>
      <c r="R13" s="39"/>
      <c r="S13" s="39"/>
      <c r="T13" s="39"/>
      <c r="U13" s="39"/>
      <c r="V13" s="39"/>
      <c r="W13" s="39"/>
      <c r="X13" s="39"/>
    </row>
    <row r="14" spans="1:24" x14ac:dyDescent="0.25">
      <c r="A14" s="39"/>
      <c r="B14" s="39"/>
      <c r="C14" s="39"/>
      <c r="D14" s="39"/>
      <c r="E14" s="39"/>
      <c r="F14" s="39"/>
      <c r="G14" s="39"/>
      <c r="H14" s="39"/>
      <c r="I14" s="39"/>
      <c r="J14" s="39"/>
      <c r="K14" s="39"/>
      <c r="L14" s="39"/>
      <c r="M14" s="39"/>
      <c r="N14" s="39"/>
      <c r="O14" s="39"/>
      <c r="P14" s="39"/>
      <c r="Q14" s="39"/>
      <c r="R14" s="39"/>
      <c r="S14" s="39"/>
      <c r="T14" s="39"/>
      <c r="U14" s="39"/>
      <c r="V14" s="39"/>
      <c r="W14" s="39"/>
      <c r="X14" s="39"/>
    </row>
    <row r="15" spans="1:24" x14ac:dyDescent="0.25">
      <c r="A15" s="39"/>
      <c r="B15" s="39"/>
      <c r="C15" s="39"/>
      <c r="D15" s="39"/>
      <c r="E15" s="39"/>
      <c r="F15" s="39"/>
      <c r="G15" s="39"/>
      <c r="H15" s="39"/>
      <c r="I15" s="39"/>
      <c r="J15" s="39"/>
      <c r="K15" s="39"/>
      <c r="L15" s="39"/>
      <c r="M15" s="39"/>
      <c r="N15" s="39"/>
      <c r="O15" s="39"/>
      <c r="P15" s="39"/>
      <c r="Q15" s="39"/>
      <c r="R15" s="39"/>
      <c r="S15" s="39"/>
      <c r="T15" s="39"/>
      <c r="U15" s="39"/>
      <c r="V15" s="39"/>
      <c r="W15" s="39"/>
      <c r="X15" s="39"/>
    </row>
    <row r="16" spans="1:24" x14ac:dyDescent="0.25">
      <c r="A16" s="39"/>
      <c r="B16" s="39"/>
      <c r="C16" s="39"/>
      <c r="D16" s="39"/>
      <c r="E16" s="39"/>
      <c r="F16" s="39"/>
      <c r="G16" s="39"/>
      <c r="H16" s="39"/>
      <c r="I16" s="39"/>
      <c r="J16" s="39"/>
      <c r="K16" s="39"/>
      <c r="L16" s="39"/>
      <c r="M16" s="39"/>
      <c r="N16" s="39"/>
      <c r="O16" s="39"/>
      <c r="P16" s="39"/>
      <c r="Q16" s="39"/>
      <c r="R16" s="39"/>
      <c r="S16" s="39"/>
      <c r="T16" s="39"/>
      <c r="U16" s="39"/>
      <c r="V16" s="39"/>
      <c r="W16" s="39"/>
      <c r="X16" s="39"/>
    </row>
    <row r="17" spans="1:24" x14ac:dyDescent="0.25">
      <c r="A17" s="39"/>
      <c r="B17" s="39"/>
      <c r="C17" s="39"/>
      <c r="D17" s="39"/>
      <c r="E17" s="39"/>
      <c r="F17" s="39"/>
      <c r="G17" s="39"/>
      <c r="H17" s="39"/>
      <c r="I17" s="39"/>
      <c r="J17" s="39"/>
      <c r="K17" s="39"/>
      <c r="L17" s="39"/>
      <c r="M17" s="39"/>
      <c r="N17" s="39"/>
      <c r="O17" s="39"/>
      <c r="P17" s="39"/>
      <c r="Q17" s="39"/>
      <c r="R17" s="39"/>
      <c r="S17" s="39"/>
      <c r="T17" s="39"/>
      <c r="U17" s="39"/>
      <c r="V17" s="39"/>
      <c r="W17" s="39"/>
      <c r="X17" s="39"/>
    </row>
    <row r="18" spans="1:24" x14ac:dyDescent="0.25">
      <c r="A18" s="39"/>
      <c r="B18" s="39"/>
      <c r="C18" s="39"/>
      <c r="D18" s="39"/>
      <c r="E18" s="39"/>
      <c r="F18" s="39"/>
      <c r="G18" s="39"/>
      <c r="H18" s="39"/>
      <c r="I18" s="39"/>
      <c r="J18" s="39"/>
      <c r="K18" s="39"/>
      <c r="L18" s="39"/>
      <c r="M18" s="39"/>
      <c r="N18" s="39"/>
      <c r="O18" s="39"/>
      <c r="P18" s="39"/>
      <c r="Q18" s="39"/>
      <c r="R18" s="39"/>
      <c r="S18" s="39"/>
      <c r="T18" s="39"/>
      <c r="U18" s="39"/>
      <c r="V18" s="39"/>
      <c r="W18" s="39"/>
      <c r="X18" s="39"/>
    </row>
    <row r="19" spans="1:24" x14ac:dyDescent="0.25">
      <c r="A19" s="39"/>
      <c r="B19" s="39"/>
      <c r="C19" s="39"/>
      <c r="D19" s="39"/>
      <c r="E19" s="39"/>
      <c r="F19" s="39"/>
      <c r="G19" s="39"/>
      <c r="H19" s="39"/>
      <c r="I19" s="39"/>
      <c r="J19" s="39"/>
      <c r="K19" s="39"/>
      <c r="L19" s="39"/>
      <c r="M19" s="39"/>
      <c r="N19" s="39"/>
      <c r="O19" s="39"/>
      <c r="P19" s="39"/>
      <c r="Q19" s="39"/>
      <c r="R19" s="39"/>
      <c r="S19" s="39"/>
      <c r="T19" s="39"/>
      <c r="U19" s="39"/>
      <c r="V19" s="39"/>
      <c r="W19" s="39"/>
      <c r="X19" s="39"/>
    </row>
    <row r="20" spans="1:24" x14ac:dyDescent="0.25">
      <c r="A20" s="39"/>
      <c r="B20" s="39"/>
      <c r="C20" s="39"/>
      <c r="D20" s="39"/>
      <c r="E20" s="39"/>
      <c r="F20" s="39"/>
      <c r="G20" s="39"/>
      <c r="H20" s="39"/>
      <c r="I20" s="39"/>
      <c r="J20" s="39"/>
      <c r="K20" s="39"/>
      <c r="L20" s="39"/>
      <c r="M20" s="39"/>
      <c r="N20" s="39"/>
      <c r="O20" s="39"/>
      <c r="P20" s="39"/>
      <c r="Q20" s="39"/>
      <c r="R20" s="39"/>
      <c r="S20" s="39"/>
      <c r="T20" s="39"/>
      <c r="U20" s="39"/>
      <c r="V20" s="39"/>
      <c r="W20" s="39"/>
      <c r="X20" s="39"/>
    </row>
    <row r="21" spans="1:24" x14ac:dyDescent="0.25">
      <c r="A21" s="39"/>
      <c r="B21" s="39"/>
      <c r="C21" s="39"/>
      <c r="D21" s="39"/>
      <c r="E21" s="39"/>
      <c r="F21" s="39"/>
      <c r="G21" s="39"/>
      <c r="H21" s="39"/>
      <c r="I21" s="39"/>
      <c r="J21" s="39"/>
      <c r="K21" s="39"/>
      <c r="L21" s="39"/>
      <c r="M21" s="39"/>
      <c r="N21" s="39"/>
      <c r="O21" s="39"/>
      <c r="P21" s="39"/>
      <c r="Q21" s="39"/>
      <c r="R21" s="39"/>
      <c r="S21" s="39"/>
      <c r="T21" s="39"/>
      <c r="U21" s="39"/>
      <c r="V21" s="39"/>
      <c r="W21" s="39"/>
      <c r="X21" s="39"/>
    </row>
    <row r="22" spans="1:24" x14ac:dyDescent="0.25">
      <c r="A22" s="39"/>
      <c r="B22" s="39"/>
      <c r="C22" s="39"/>
      <c r="D22" s="39"/>
      <c r="E22" s="39"/>
      <c r="F22" s="39"/>
      <c r="G22" s="39"/>
      <c r="H22" s="39"/>
      <c r="I22" s="39"/>
      <c r="J22" s="39"/>
      <c r="K22" s="39"/>
      <c r="L22" s="39"/>
      <c r="M22" s="39"/>
      <c r="N22" s="39"/>
      <c r="O22" s="39"/>
      <c r="P22" s="39"/>
      <c r="Q22" s="39"/>
      <c r="R22" s="39"/>
      <c r="S22" s="39"/>
      <c r="T22" s="39"/>
      <c r="U22" s="39"/>
      <c r="V22" s="39"/>
      <c r="W22" s="39"/>
      <c r="X22" s="39"/>
    </row>
    <row r="23" spans="1:24" x14ac:dyDescent="0.25">
      <c r="A23" s="39"/>
      <c r="B23" s="39"/>
      <c r="C23" s="39"/>
      <c r="D23" s="39"/>
      <c r="E23" s="39"/>
      <c r="F23" s="39"/>
      <c r="G23" s="39"/>
      <c r="H23" s="39"/>
      <c r="I23" s="39"/>
      <c r="J23" s="39"/>
      <c r="K23" s="39"/>
      <c r="L23" s="39"/>
      <c r="M23" s="39"/>
      <c r="N23" s="39"/>
      <c r="O23" s="39"/>
      <c r="P23" s="39"/>
      <c r="Q23" s="39"/>
      <c r="R23" s="39"/>
      <c r="S23" s="39"/>
      <c r="T23" s="39"/>
      <c r="U23" s="39"/>
      <c r="V23" s="39"/>
      <c r="W23" s="39"/>
      <c r="X23" s="39"/>
    </row>
    <row r="24" spans="1:24" x14ac:dyDescent="0.25">
      <c r="A24" s="39"/>
      <c r="B24" s="39"/>
      <c r="C24" s="39"/>
      <c r="D24" s="39"/>
      <c r="E24" s="39"/>
      <c r="F24" s="39"/>
      <c r="G24" s="39"/>
      <c r="H24" s="39"/>
      <c r="I24" s="39"/>
      <c r="J24" s="39"/>
      <c r="K24" s="39"/>
      <c r="L24" s="39"/>
      <c r="M24" s="39"/>
      <c r="N24" s="39"/>
      <c r="O24" s="39"/>
      <c r="P24" s="39"/>
      <c r="Q24" s="39"/>
      <c r="R24" s="39"/>
      <c r="S24" s="39"/>
      <c r="T24" s="39"/>
      <c r="U24" s="39"/>
      <c r="V24" s="39"/>
      <c r="W24" s="39"/>
      <c r="X24" s="39"/>
    </row>
    <row r="25" spans="1:24" x14ac:dyDescent="0.25">
      <c r="A25" s="39"/>
      <c r="B25" s="39"/>
      <c r="C25" s="39"/>
      <c r="D25" s="39"/>
      <c r="E25" s="39"/>
      <c r="F25" s="39"/>
      <c r="G25" s="39"/>
      <c r="H25" s="39"/>
      <c r="I25" s="39"/>
      <c r="J25" s="39"/>
      <c r="K25" s="39"/>
      <c r="L25" s="39"/>
      <c r="M25" s="39"/>
      <c r="N25" s="39"/>
      <c r="O25" s="39"/>
      <c r="P25" s="39"/>
      <c r="Q25" s="39"/>
      <c r="R25" s="39"/>
      <c r="S25" s="39"/>
      <c r="T25" s="39"/>
      <c r="U25" s="39"/>
      <c r="V25" s="39"/>
      <c r="W25" s="39"/>
      <c r="X25" s="39"/>
    </row>
    <row r="26" spans="1:24" x14ac:dyDescent="0.25">
      <c r="A26" s="39"/>
      <c r="B26" s="39"/>
      <c r="C26" s="39"/>
      <c r="D26" s="39"/>
      <c r="E26" s="39"/>
      <c r="F26" s="39"/>
      <c r="G26" s="39"/>
      <c r="H26" s="39"/>
      <c r="I26" s="39"/>
      <c r="J26" s="39"/>
      <c r="K26" s="39"/>
      <c r="L26" s="39"/>
      <c r="M26" s="39"/>
      <c r="N26" s="39"/>
      <c r="O26" s="39"/>
      <c r="P26" s="39"/>
      <c r="Q26" s="39"/>
      <c r="R26" s="39"/>
      <c r="S26" s="39"/>
      <c r="T26" s="39"/>
      <c r="U26" s="39"/>
      <c r="V26" s="39"/>
      <c r="W26" s="39"/>
      <c r="X26" s="39"/>
    </row>
    <row r="27" spans="1:24" x14ac:dyDescent="0.25">
      <c r="A27" s="39"/>
      <c r="B27" s="39"/>
      <c r="C27" s="39"/>
      <c r="D27" s="39"/>
      <c r="E27" s="39"/>
      <c r="F27" s="39"/>
      <c r="G27" s="39"/>
      <c r="H27" s="39"/>
      <c r="I27" s="39"/>
      <c r="J27" s="39"/>
      <c r="K27" s="39"/>
      <c r="L27" s="39"/>
      <c r="M27" s="39"/>
      <c r="N27" s="39"/>
      <c r="O27" s="39"/>
      <c r="P27" s="39"/>
      <c r="Q27" s="39"/>
      <c r="R27" s="39"/>
      <c r="S27" s="39"/>
      <c r="T27" s="39"/>
      <c r="U27" s="39"/>
      <c r="V27" s="39"/>
      <c r="W27" s="39"/>
      <c r="X27" s="39"/>
    </row>
    <row r="28" spans="1:24" x14ac:dyDescent="0.25">
      <c r="A28" s="39"/>
      <c r="B28" s="39"/>
      <c r="C28" s="39"/>
      <c r="D28" s="39"/>
      <c r="E28" s="39"/>
      <c r="F28" s="39"/>
      <c r="G28" s="39"/>
      <c r="H28" s="39"/>
      <c r="I28" s="39"/>
      <c r="J28" s="39"/>
      <c r="K28" s="39"/>
      <c r="L28" s="39"/>
      <c r="M28" s="39"/>
      <c r="N28" s="39"/>
      <c r="O28" s="39"/>
      <c r="P28" s="39"/>
      <c r="Q28" s="39"/>
      <c r="R28" s="39"/>
      <c r="S28" s="39"/>
      <c r="T28" s="39"/>
      <c r="U28" s="39"/>
      <c r="V28" s="39"/>
      <c r="W28" s="39"/>
      <c r="X28" s="39"/>
    </row>
    <row r="29" spans="1:24" x14ac:dyDescent="0.25">
      <c r="A29" s="39"/>
      <c r="B29" s="39"/>
      <c r="C29" s="39"/>
      <c r="D29" s="39"/>
      <c r="E29" s="39"/>
      <c r="F29" s="39"/>
      <c r="G29" s="39"/>
      <c r="H29" s="39"/>
      <c r="I29" s="39"/>
      <c r="J29" s="39"/>
      <c r="K29" s="39"/>
      <c r="L29" s="39"/>
      <c r="M29" s="39"/>
      <c r="N29" s="39"/>
      <c r="O29" s="39"/>
      <c r="P29" s="39"/>
      <c r="Q29" s="39"/>
      <c r="R29" s="39"/>
      <c r="S29" s="39"/>
      <c r="T29" s="39"/>
      <c r="U29" s="39"/>
      <c r="V29" s="39"/>
      <c r="W29" s="39"/>
      <c r="X29" s="39"/>
    </row>
    <row r="30" spans="1:24" x14ac:dyDescent="0.25">
      <c r="A30" s="39"/>
      <c r="B30" s="39"/>
      <c r="C30" s="39"/>
      <c r="D30" s="39"/>
      <c r="E30" s="39"/>
      <c r="F30" s="39"/>
      <c r="G30" s="39"/>
      <c r="H30" s="39"/>
      <c r="I30" s="39"/>
      <c r="J30" s="39"/>
      <c r="K30" s="39"/>
      <c r="L30" s="39"/>
      <c r="M30" s="39"/>
      <c r="N30" s="39"/>
      <c r="O30" s="39"/>
      <c r="P30" s="39"/>
      <c r="Q30" s="39"/>
      <c r="R30" s="39"/>
      <c r="S30" s="39"/>
      <c r="T30" s="39"/>
      <c r="U30" s="39"/>
      <c r="V30" s="39"/>
      <c r="W30" s="39"/>
      <c r="X30" s="39"/>
    </row>
    <row r="31" spans="1:24" x14ac:dyDescent="0.25">
      <c r="A31" s="39"/>
      <c r="B31" s="39"/>
      <c r="C31" s="39"/>
      <c r="D31" s="39"/>
      <c r="E31" s="39"/>
      <c r="F31" s="39"/>
      <c r="G31" s="39"/>
      <c r="H31" s="39"/>
      <c r="I31" s="39"/>
      <c r="J31" s="39"/>
      <c r="K31" s="39"/>
      <c r="L31" s="39"/>
      <c r="M31" s="39"/>
      <c r="N31" s="39"/>
      <c r="O31" s="39"/>
      <c r="P31" s="39"/>
      <c r="Q31" s="39"/>
      <c r="R31" s="39"/>
      <c r="S31" s="39"/>
      <c r="T31" s="39"/>
      <c r="U31" s="39"/>
      <c r="V31" s="39"/>
      <c r="W31" s="39"/>
      <c r="X31" s="39"/>
    </row>
    <row r="32" spans="1:24" x14ac:dyDescent="0.25">
      <c r="A32" s="39"/>
      <c r="B32" s="39"/>
      <c r="C32" s="39"/>
      <c r="D32" s="39"/>
      <c r="E32" s="39"/>
      <c r="F32" s="39"/>
      <c r="G32" s="39"/>
      <c r="H32" s="39"/>
      <c r="I32" s="39"/>
      <c r="J32" s="39"/>
      <c r="K32" s="39"/>
      <c r="L32" s="39"/>
      <c r="M32" s="39"/>
      <c r="N32" s="39"/>
      <c r="O32" s="39"/>
      <c r="P32" s="39"/>
      <c r="Q32" s="39"/>
      <c r="R32" s="39"/>
      <c r="S32" s="39"/>
      <c r="T32" s="39"/>
      <c r="U32" s="39"/>
      <c r="V32" s="39"/>
      <c r="W32" s="39"/>
      <c r="X32" s="39"/>
    </row>
    <row r="33" spans="1:24" x14ac:dyDescent="0.25">
      <c r="A33" s="39"/>
      <c r="B33" s="39"/>
      <c r="C33" s="39"/>
      <c r="D33" s="39"/>
      <c r="E33" s="39"/>
      <c r="F33" s="39"/>
      <c r="G33" s="39"/>
      <c r="H33" s="39"/>
      <c r="I33" s="39"/>
      <c r="J33" s="39"/>
      <c r="K33" s="39"/>
      <c r="L33" s="39"/>
      <c r="M33" s="39"/>
      <c r="N33" s="39"/>
      <c r="O33" s="39"/>
      <c r="P33" s="39"/>
      <c r="Q33" s="39"/>
      <c r="R33" s="39"/>
      <c r="S33" s="39"/>
      <c r="T33" s="39"/>
      <c r="U33" s="39"/>
      <c r="V33" s="39"/>
      <c r="W33" s="39"/>
      <c r="X33" s="39"/>
    </row>
    <row r="34" spans="1:24" x14ac:dyDescent="0.25">
      <c r="A34" s="39"/>
      <c r="B34" s="39"/>
      <c r="C34" s="39"/>
      <c r="D34" s="39"/>
      <c r="E34" s="39"/>
      <c r="F34" s="39"/>
      <c r="G34" s="39"/>
      <c r="H34" s="39"/>
      <c r="I34" s="39"/>
      <c r="J34" s="39"/>
      <c r="K34" s="39"/>
      <c r="L34" s="39"/>
      <c r="M34" s="39"/>
      <c r="N34" s="39"/>
      <c r="O34" s="39"/>
      <c r="P34" s="39"/>
      <c r="Q34" s="39"/>
      <c r="R34" s="39"/>
      <c r="S34" s="39"/>
      <c r="T34" s="39"/>
      <c r="U34" s="39"/>
      <c r="V34" s="39"/>
      <c r="W34" s="39"/>
      <c r="X34" s="39"/>
    </row>
    <row r="35" spans="1:24" x14ac:dyDescent="0.25">
      <c r="A35" s="39"/>
      <c r="B35" s="39"/>
      <c r="C35" s="39"/>
      <c r="D35" s="39"/>
      <c r="E35" s="39"/>
      <c r="F35" s="39"/>
      <c r="G35" s="39"/>
      <c r="H35" s="39"/>
      <c r="I35" s="39"/>
      <c r="J35" s="39"/>
      <c r="K35" s="39"/>
      <c r="L35" s="39"/>
      <c r="M35" s="39"/>
      <c r="N35" s="39"/>
      <c r="O35" s="39"/>
      <c r="P35" s="39"/>
      <c r="Q35" s="39"/>
      <c r="R35" s="39"/>
      <c r="S35" s="39"/>
      <c r="T35" s="39"/>
      <c r="U35" s="39"/>
      <c r="V35" s="39"/>
      <c r="W35" s="39"/>
      <c r="X35" s="39"/>
    </row>
    <row r="36" spans="1:24" x14ac:dyDescent="0.25">
      <c r="A36" s="39"/>
      <c r="B36" s="39"/>
      <c r="C36" s="39"/>
      <c r="D36" s="39"/>
      <c r="E36" s="39"/>
      <c r="F36" s="39"/>
      <c r="G36" s="39"/>
      <c r="H36" s="39"/>
      <c r="I36" s="39"/>
      <c r="J36" s="39"/>
      <c r="K36" s="39"/>
      <c r="L36" s="39"/>
      <c r="M36" s="39"/>
      <c r="N36" s="39"/>
      <c r="O36" s="39"/>
      <c r="P36" s="39"/>
      <c r="Q36" s="39"/>
      <c r="R36" s="39"/>
      <c r="S36" s="39"/>
      <c r="T36" s="39"/>
      <c r="U36" s="39"/>
      <c r="V36" s="39"/>
      <c r="W36" s="39"/>
      <c r="X36" s="39"/>
    </row>
    <row r="37" spans="1:24" x14ac:dyDescent="0.25">
      <c r="A37" s="39"/>
      <c r="B37" s="39"/>
      <c r="C37" s="39"/>
      <c r="D37" s="39"/>
      <c r="E37" s="39"/>
      <c r="F37" s="39"/>
      <c r="G37" s="39"/>
      <c r="H37" s="39"/>
      <c r="I37" s="39"/>
      <c r="J37" s="39"/>
      <c r="K37" s="39"/>
      <c r="L37" s="39"/>
      <c r="M37" s="39"/>
      <c r="N37" s="39"/>
      <c r="O37" s="39"/>
      <c r="P37" s="39"/>
      <c r="Q37" s="39"/>
      <c r="R37" s="39"/>
      <c r="S37" s="39"/>
      <c r="T37" s="39"/>
      <c r="U37" s="39"/>
      <c r="V37" s="39"/>
      <c r="W37" s="39"/>
      <c r="X37" s="39"/>
    </row>
  </sheetData>
  <mergeCells count="1">
    <mergeCell ref="A1:X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352C5-BB77-491C-869E-A77FDBD57711}">
  <dimension ref="A2:Y63"/>
  <sheetViews>
    <sheetView workbookViewId="0">
      <selection activeCell="A69" sqref="A69"/>
    </sheetView>
  </sheetViews>
  <sheetFormatPr defaultRowHeight="15" x14ac:dyDescent="0.25"/>
  <cols>
    <col min="1" max="1" width="21" bestFit="1" customWidth="1"/>
    <col min="2" max="2" width="16.85546875" bestFit="1" customWidth="1"/>
    <col min="3" max="3" width="7" bestFit="1" customWidth="1"/>
    <col min="4" max="4" width="13.42578125" bestFit="1" customWidth="1"/>
    <col min="5" max="5" width="7" bestFit="1" customWidth="1"/>
    <col min="6" max="7" width="11.28515625" bestFit="1" customWidth="1"/>
    <col min="8" max="8" width="13.42578125" bestFit="1" customWidth="1"/>
    <col min="9" max="9" width="16.42578125" bestFit="1" customWidth="1"/>
    <col min="10" max="10" width="13.42578125" bestFit="1" customWidth="1"/>
    <col min="11" max="11" width="35.28515625" bestFit="1" customWidth="1"/>
    <col min="12" max="12" width="9.85546875" customWidth="1"/>
    <col min="13" max="24" width="6" bestFit="1" customWidth="1"/>
    <col min="25" max="25" width="34.85546875" customWidth="1"/>
    <col min="26" max="150" width="6" bestFit="1" customWidth="1"/>
    <col min="151" max="151" width="11.28515625" bestFit="1" customWidth="1"/>
  </cols>
  <sheetData>
    <row r="2" spans="1:12" ht="15.75" x14ac:dyDescent="0.25">
      <c r="A2" s="29" t="s">
        <v>311</v>
      </c>
      <c r="B2" s="29"/>
      <c r="E2" s="33" t="s">
        <v>316</v>
      </c>
      <c r="K2" s="33" t="s">
        <v>320</v>
      </c>
    </row>
    <row r="3" spans="1:12" x14ac:dyDescent="0.25">
      <c r="A3" s="30" t="s">
        <v>312</v>
      </c>
      <c r="B3" s="3" t="s">
        <v>315</v>
      </c>
      <c r="E3" s="30" t="s">
        <v>312</v>
      </c>
      <c r="F3" s="3" t="s">
        <v>275</v>
      </c>
      <c r="K3" s="30" t="s">
        <v>312</v>
      </c>
      <c r="L3" s="3" t="s">
        <v>315</v>
      </c>
    </row>
    <row r="4" spans="1:12" x14ac:dyDescent="0.25">
      <c r="A4" s="31" t="s">
        <v>9</v>
      </c>
      <c r="B4" s="32">
        <v>21</v>
      </c>
      <c r="E4" s="31" t="s">
        <v>59</v>
      </c>
      <c r="F4" s="24">
        <v>61609.84210526316</v>
      </c>
      <c r="K4" s="31" t="s">
        <v>317</v>
      </c>
      <c r="L4" s="32">
        <v>57</v>
      </c>
    </row>
    <row r="5" spans="1:12" x14ac:dyDescent="0.25">
      <c r="A5" s="31" t="s">
        <v>13</v>
      </c>
      <c r="B5" s="32">
        <v>22</v>
      </c>
      <c r="E5" s="31" t="s">
        <v>14</v>
      </c>
      <c r="F5" s="24">
        <v>65897.318181818177</v>
      </c>
      <c r="K5" s="31" t="s">
        <v>318</v>
      </c>
      <c r="L5" s="32">
        <v>59</v>
      </c>
    </row>
    <row r="6" spans="1:12" x14ac:dyDescent="0.25">
      <c r="A6" s="31" t="s">
        <v>30</v>
      </c>
      <c r="B6" s="32">
        <v>22</v>
      </c>
      <c r="E6" s="31" t="s">
        <v>31</v>
      </c>
      <c r="F6" s="24">
        <v>67654.166666666672</v>
      </c>
      <c r="K6" s="31" t="s">
        <v>319</v>
      </c>
      <c r="L6" s="32">
        <v>24</v>
      </c>
    </row>
    <row r="7" spans="1:12" x14ac:dyDescent="0.25">
      <c r="A7" s="31" t="s">
        <v>38</v>
      </c>
      <c r="B7" s="32">
        <v>50</v>
      </c>
      <c r="E7" s="31" t="s">
        <v>43</v>
      </c>
      <c r="F7" s="24">
        <v>62511.045454545456</v>
      </c>
      <c r="K7" s="31" t="s">
        <v>313</v>
      </c>
      <c r="L7" s="24">
        <v>140</v>
      </c>
    </row>
    <row r="8" spans="1:12" x14ac:dyDescent="0.25">
      <c r="A8" s="31" t="s">
        <v>22</v>
      </c>
      <c r="B8" s="32">
        <v>25</v>
      </c>
      <c r="E8" s="31" t="s">
        <v>23</v>
      </c>
      <c r="F8" s="24">
        <v>68461.565217391311</v>
      </c>
    </row>
    <row r="9" spans="1:12" x14ac:dyDescent="0.25">
      <c r="A9" s="31" t="s">
        <v>313</v>
      </c>
      <c r="B9" s="32">
        <v>140</v>
      </c>
      <c r="E9" s="31" t="s">
        <v>313</v>
      </c>
      <c r="F9" s="24">
        <v>65882.228571428568</v>
      </c>
    </row>
    <row r="28" spans="1:25" x14ac:dyDescent="0.25">
      <c r="L28" s="29" t="s">
        <v>338</v>
      </c>
    </row>
    <row r="29" spans="1:25" ht="15.75" x14ac:dyDescent="0.25">
      <c r="A29" s="33" t="s">
        <v>321</v>
      </c>
      <c r="H29" s="33" t="s">
        <v>322</v>
      </c>
    </row>
    <row r="30" spans="1:25" x14ac:dyDescent="0.25">
      <c r="A30" s="30" t="s">
        <v>315</v>
      </c>
      <c r="B30" s="30" t="s">
        <v>314</v>
      </c>
      <c r="C30" s="3"/>
      <c r="D30" s="3"/>
      <c r="E30" s="3"/>
      <c r="F30" s="3"/>
      <c r="H30" s="30" t="s">
        <v>312</v>
      </c>
      <c r="I30" s="3" t="s">
        <v>275</v>
      </c>
      <c r="J30" s="3" t="s">
        <v>323</v>
      </c>
      <c r="L30" s="30" t="s">
        <v>315</v>
      </c>
      <c r="M30" s="30" t="s">
        <v>314</v>
      </c>
      <c r="N30" s="3"/>
      <c r="O30" s="3"/>
      <c r="P30" s="3"/>
      <c r="Q30" s="3"/>
      <c r="R30" s="3"/>
      <c r="S30" s="3"/>
      <c r="T30" s="3"/>
      <c r="U30" s="3"/>
      <c r="V30" s="3"/>
      <c r="W30" s="3"/>
      <c r="X30" s="3"/>
      <c r="Y30" s="3"/>
    </row>
    <row r="31" spans="1:25" x14ac:dyDescent="0.25">
      <c r="A31" s="30" t="s">
        <v>312</v>
      </c>
      <c r="B31" s="3" t="s">
        <v>32</v>
      </c>
      <c r="C31" s="3" t="s">
        <v>24</v>
      </c>
      <c r="D31" s="3" t="s">
        <v>276</v>
      </c>
      <c r="E31" s="3" t="s">
        <v>15</v>
      </c>
      <c r="F31" s="3" t="s">
        <v>313</v>
      </c>
      <c r="H31" s="31" t="s">
        <v>9</v>
      </c>
      <c r="I31" s="35">
        <v>65617.761904761908</v>
      </c>
      <c r="J31" s="36">
        <v>2.6666666666666665</v>
      </c>
      <c r="L31" s="30" t="s">
        <v>312</v>
      </c>
      <c r="M31" s="3" t="s">
        <v>324</v>
      </c>
      <c r="N31" s="3" t="s">
        <v>328</v>
      </c>
      <c r="O31" s="3" t="s">
        <v>332</v>
      </c>
      <c r="P31" s="3" t="s">
        <v>334</v>
      </c>
      <c r="Q31" s="3" t="s">
        <v>335</v>
      </c>
      <c r="R31" s="3" t="s">
        <v>327</v>
      </c>
      <c r="S31" s="3" t="s">
        <v>326</v>
      </c>
      <c r="T31" s="3" t="s">
        <v>333</v>
      </c>
      <c r="U31" s="3" t="s">
        <v>325</v>
      </c>
      <c r="V31" s="3" t="s">
        <v>331</v>
      </c>
      <c r="W31" s="3" t="s">
        <v>330</v>
      </c>
      <c r="X31" s="3" t="s">
        <v>329</v>
      </c>
      <c r="Y31" s="3" t="s">
        <v>313</v>
      </c>
    </row>
    <row r="32" spans="1:25" x14ac:dyDescent="0.25">
      <c r="A32" s="31" t="s">
        <v>9</v>
      </c>
      <c r="B32" s="32">
        <v>3</v>
      </c>
      <c r="C32" s="32">
        <v>2</v>
      </c>
      <c r="D32" s="32">
        <v>9</v>
      </c>
      <c r="E32" s="32">
        <v>7</v>
      </c>
      <c r="F32" s="32">
        <v>21</v>
      </c>
      <c r="H32" s="31" t="s">
        <v>13</v>
      </c>
      <c r="I32" s="35">
        <v>67234.181818181823</v>
      </c>
      <c r="J32" s="36">
        <v>2.7272727272727271</v>
      </c>
      <c r="L32" s="31" t="s">
        <v>9</v>
      </c>
      <c r="M32" s="32">
        <v>2</v>
      </c>
      <c r="N32" s="32">
        <v>2</v>
      </c>
      <c r="O32" s="32">
        <v>1</v>
      </c>
      <c r="P32" s="32">
        <v>2</v>
      </c>
      <c r="Q32" s="32">
        <v>2</v>
      </c>
      <c r="R32" s="32"/>
      <c r="S32" s="32">
        <v>3</v>
      </c>
      <c r="T32" s="32">
        <v>1</v>
      </c>
      <c r="U32" s="32">
        <v>4</v>
      </c>
      <c r="V32" s="32">
        <v>2</v>
      </c>
      <c r="W32" s="32">
        <v>2</v>
      </c>
      <c r="X32" s="32"/>
      <c r="Y32" s="32">
        <v>21</v>
      </c>
    </row>
    <row r="33" spans="1:25" x14ac:dyDescent="0.25">
      <c r="A33" s="31" t="s">
        <v>13</v>
      </c>
      <c r="B33" s="32">
        <v>4</v>
      </c>
      <c r="C33" s="32">
        <v>6</v>
      </c>
      <c r="D33" s="32">
        <v>6</v>
      </c>
      <c r="E33" s="32">
        <v>6</v>
      </c>
      <c r="F33" s="32">
        <v>22</v>
      </c>
      <c r="H33" s="31" t="s">
        <v>30</v>
      </c>
      <c r="I33" s="35">
        <v>66184.409090909088</v>
      </c>
      <c r="J33" s="36">
        <v>2.8636363636363638</v>
      </c>
      <c r="L33" s="31" t="s">
        <v>13</v>
      </c>
      <c r="M33" s="32">
        <v>1</v>
      </c>
      <c r="N33" s="32">
        <v>3</v>
      </c>
      <c r="O33" s="32">
        <v>2</v>
      </c>
      <c r="P33" s="32"/>
      <c r="Q33" s="32">
        <v>2</v>
      </c>
      <c r="R33" s="32">
        <v>3</v>
      </c>
      <c r="S33" s="32"/>
      <c r="T33" s="32">
        <v>3</v>
      </c>
      <c r="U33" s="32">
        <v>2</v>
      </c>
      <c r="V33" s="32">
        <v>2</v>
      </c>
      <c r="W33" s="32">
        <v>2</v>
      </c>
      <c r="X33" s="32">
        <v>2</v>
      </c>
      <c r="Y33" s="32">
        <v>22</v>
      </c>
    </row>
    <row r="34" spans="1:25" x14ac:dyDescent="0.25">
      <c r="A34" s="31" t="s">
        <v>30</v>
      </c>
      <c r="B34" s="32">
        <v>7</v>
      </c>
      <c r="C34" s="32">
        <v>9</v>
      </c>
      <c r="D34" s="32">
        <v>4</v>
      </c>
      <c r="E34" s="32">
        <v>2</v>
      </c>
      <c r="F34" s="32">
        <v>22</v>
      </c>
      <c r="H34" s="31" t="s">
        <v>38</v>
      </c>
      <c r="I34" s="35">
        <v>64847.26</v>
      </c>
      <c r="J34" s="36">
        <v>3.1</v>
      </c>
      <c r="L34" s="31" t="s">
        <v>30</v>
      </c>
      <c r="M34" s="32"/>
      <c r="N34" s="32">
        <v>1</v>
      </c>
      <c r="O34" s="32">
        <v>1</v>
      </c>
      <c r="P34" s="32">
        <v>2</v>
      </c>
      <c r="Q34" s="32">
        <v>1</v>
      </c>
      <c r="R34" s="32">
        <v>2</v>
      </c>
      <c r="S34" s="32">
        <v>1</v>
      </c>
      <c r="T34" s="32">
        <v>5</v>
      </c>
      <c r="U34" s="32">
        <v>1</v>
      </c>
      <c r="V34" s="32">
        <v>2</v>
      </c>
      <c r="W34" s="32">
        <v>3</v>
      </c>
      <c r="X34" s="32">
        <v>3</v>
      </c>
      <c r="Y34" s="32">
        <v>22</v>
      </c>
    </row>
    <row r="35" spans="1:25" x14ac:dyDescent="0.25">
      <c r="A35" s="31" t="s">
        <v>38</v>
      </c>
      <c r="B35" s="32">
        <v>11</v>
      </c>
      <c r="C35" s="32">
        <v>8</v>
      </c>
      <c r="D35" s="32">
        <v>18</v>
      </c>
      <c r="E35" s="32">
        <v>13</v>
      </c>
      <c r="F35" s="32">
        <v>50</v>
      </c>
      <c r="H35" s="31" t="s">
        <v>22</v>
      </c>
      <c r="I35" s="35">
        <v>66718.679999999993</v>
      </c>
      <c r="J35" s="36">
        <v>2.84</v>
      </c>
      <c r="L35" s="31" t="s">
        <v>38</v>
      </c>
      <c r="M35" s="32">
        <v>4</v>
      </c>
      <c r="N35" s="32">
        <v>3</v>
      </c>
      <c r="O35" s="32">
        <v>3</v>
      </c>
      <c r="P35" s="32">
        <v>4</v>
      </c>
      <c r="Q35" s="32">
        <v>5</v>
      </c>
      <c r="R35" s="32">
        <v>5</v>
      </c>
      <c r="S35" s="32">
        <v>6</v>
      </c>
      <c r="T35" s="32">
        <v>3</v>
      </c>
      <c r="U35" s="32">
        <v>4</v>
      </c>
      <c r="V35" s="32">
        <v>4</v>
      </c>
      <c r="W35" s="32">
        <v>4</v>
      </c>
      <c r="X35" s="32">
        <v>5</v>
      </c>
      <c r="Y35" s="32">
        <v>50</v>
      </c>
    </row>
    <row r="36" spans="1:25" x14ac:dyDescent="0.25">
      <c r="A36" s="31" t="s">
        <v>22</v>
      </c>
      <c r="B36" s="32">
        <v>8</v>
      </c>
      <c r="C36" s="32">
        <v>7</v>
      </c>
      <c r="D36" s="32">
        <v>7</v>
      </c>
      <c r="E36" s="32">
        <v>3</v>
      </c>
      <c r="F36" s="32">
        <v>25</v>
      </c>
      <c r="H36" s="31" t="s">
        <v>313</v>
      </c>
      <c r="I36" s="35">
        <v>65882.228571428568</v>
      </c>
      <c r="J36" s="36">
        <v>2.8928571428571428</v>
      </c>
      <c r="L36" s="31" t="s">
        <v>22</v>
      </c>
      <c r="M36" s="32">
        <v>4</v>
      </c>
      <c r="N36" s="32">
        <v>2</v>
      </c>
      <c r="O36" s="32">
        <v>1</v>
      </c>
      <c r="P36" s="32">
        <v>3</v>
      </c>
      <c r="Q36" s="32">
        <v>2</v>
      </c>
      <c r="R36" s="32">
        <v>4</v>
      </c>
      <c r="S36" s="32">
        <v>1</v>
      </c>
      <c r="T36" s="32">
        <v>1</v>
      </c>
      <c r="U36" s="32">
        <v>3</v>
      </c>
      <c r="V36" s="32"/>
      <c r="W36" s="32">
        <v>3</v>
      </c>
      <c r="X36" s="32">
        <v>1</v>
      </c>
      <c r="Y36" s="32">
        <v>25</v>
      </c>
    </row>
    <row r="37" spans="1:25" x14ac:dyDescent="0.25">
      <c r="A37" s="31" t="s">
        <v>313</v>
      </c>
      <c r="B37" s="24">
        <v>33</v>
      </c>
      <c r="C37" s="24">
        <v>32</v>
      </c>
      <c r="D37" s="24">
        <v>44</v>
      </c>
      <c r="E37" s="24">
        <v>31</v>
      </c>
      <c r="F37" s="24">
        <v>140</v>
      </c>
      <c r="L37" s="31" t="s">
        <v>313</v>
      </c>
      <c r="M37" s="24">
        <v>11</v>
      </c>
      <c r="N37" s="24">
        <v>11</v>
      </c>
      <c r="O37" s="24">
        <v>8</v>
      </c>
      <c r="P37" s="24">
        <v>11</v>
      </c>
      <c r="Q37" s="24">
        <v>12</v>
      </c>
      <c r="R37" s="24">
        <v>14</v>
      </c>
      <c r="S37" s="24">
        <v>11</v>
      </c>
      <c r="T37" s="24">
        <v>13</v>
      </c>
      <c r="U37" s="24">
        <v>14</v>
      </c>
      <c r="V37" s="24">
        <v>10</v>
      </c>
      <c r="W37" s="24">
        <v>14</v>
      </c>
      <c r="X37" s="24">
        <v>11</v>
      </c>
      <c r="Y37" s="24">
        <v>140</v>
      </c>
    </row>
    <row r="40" spans="1:25" x14ac:dyDescent="0.25">
      <c r="L40" s="34" t="s">
        <v>2</v>
      </c>
      <c r="M40" s="34" t="s">
        <v>324</v>
      </c>
      <c r="N40" s="34" t="s">
        <v>328</v>
      </c>
      <c r="O40" s="34" t="s">
        <v>332</v>
      </c>
      <c r="P40" s="34" t="s">
        <v>334</v>
      </c>
      <c r="Q40" s="34" t="s">
        <v>335</v>
      </c>
      <c r="R40" s="34" t="s">
        <v>327</v>
      </c>
      <c r="S40" s="34" t="s">
        <v>326</v>
      </c>
      <c r="T40" s="34" t="s">
        <v>333</v>
      </c>
      <c r="U40" s="34" t="s">
        <v>325</v>
      </c>
      <c r="V40" s="34" t="s">
        <v>331</v>
      </c>
      <c r="W40" s="34" t="s">
        <v>330</v>
      </c>
      <c r="X40" s="34" t="s">
        <v>329</v>
      </c>
      <c r="Y40" s="34" t="s">
        <v>337</v>
      </c>
    </row>
    <row r="41" spans="1:25" x14ac:dyDescent="0.25">
      <c r="L41" s="31" t="s">
        <v>9</v>
      </c>
      <c r="M41" s="32">
        <v>2</v>
      </c>
      <c r="N41" s="32">
        <v>2</v>
      </c>
      <c r="O41" s="32">
        <v>1</v>
      </c>
      <c r="P41" s="32">
        <v>2</v>
      </c>
      <c r="Q41" s="32">
        <v>2</v>
      </c>
      <c r="R41" s="32"/>
      <c r="S41" s="32">
        <v>3</v>
      </c>
      <c r="T41" s="32">
        <v>1</v>
      </c>
      <c r="U41" s="32">
        <v>4</v>
      </c>
      <c r="V41" s="32">
        <v>2</v>
      </c>
      <c r="W41" s="32">
        <v>2</v>
      </c>
      <c r="X41" s="32"/>
      <c r="Y41" s="3"/>
    </row>
    <row r="42" spans="1:25" x14ac:dyDescent="0.25">
      <c r="L42" s="31" t="s">
        <v>13</v>
      </c>
      <c r="M42" s="32">
        <v>1</v>
      </c>
      <c r="N42" s="32">
        <v>3</v>
      </c>
      <c r="O42" s="32">
        <v>2</v>
      </c>
      <c r="P42" s="32"/>
      <c r="Q42" s="32">
        <v>2</v>
      </c>
      <c r="R42" s="32">
        <v>3</v>
      </c>
      <c r="S42" s="32"/>
      <c r="T42" s="32">
        <v>3</v>
      </c>
      <c r="U42" s="32">
        <v>2</v>
      </c>
      <c r="V42" s="32">
        <v>2</v>
      </c>
      <c r="W42" s="32">
        <v>2</v>
      </c>
      <c r="X42" s="32">
        <v>2</v>
      </c>
      <c r="Y42" s="3"/>
    </row>
    <row r="43" spans="1:25" x14ac:dyDescent="0.25">
      <c r="L43" s="31" t="s">
        <v>30</v>
      </c>
      <c r="M43" s="32"/>
      <c r="N43" s="32">
        <v>1</v>
      </c>
      <c r="O43" s="32">
        <v>1</v>
      </c>
      <c r="P43" s="32">
        <v>2</v>
      </c>
      <c r="Q43" s="32">
        <v>1</v>
      </c>
      <c r="R43" s="32">
        <v>2</v>
      </c>
      <c r="S43" s="32">
        <v>1</v>
      </c>
      <c r="T43" s="32">
        <v>5</v>
      </c>
      <c r="U43" s="32">
        <v>1</v>
      </c>
      <c r="V43" s="32">
        <v>2</v>
      </c>
      <c r="W43" s="32">
        <v>3</v>
      </c>
      <c r="X43" s="32">
        <v>3</v>
      </c>
      <c r="Y43" s="3"/>
    </row>
    <row r="44" spans="1:25" x14ac:dyDescent="0.25">
      <c r="L44" s="31" t="s">
        <v>38</v>
      </c>
      <c r="M44" s="32">
        <v>4</v>
      </c>
      <c r="N44" s="32">
        <v>3</v>
      </c>
      <c r="O44" s="32">
        <v>3</v>
      </c>
      <c r="P44" s="32">
        <v>4</v>
      </c>
      <c r="Q44" s="32">
        <v>5</v>
      </c>
      <c r="R44" s="32">
        <v>5</v>
      </c>
      <c r="S44" s="32">
        <v>6</v>
      </c>
      <c r="T44" s="32">
        <v>3</v>
      </c>
      <c r="U44" s="32">
        <v>4</v>
      </c>
      <c r="V44" s="32">
        <v>4</v>
      </c>
      <c r="W44" s="32">
        <v>4</v>
      </c>
      <c r="X44" s="32">
        <v>5</v>
      </c>
      <c r="Y44" s="3"/>
    </row>
    <row r="45" spans="1:25" x14ac:dyDescent="0.25">
      <c r="L45" s="31" t="s">
        <v>22</v>
      </c>
      <c r="M45" s="32">
        <v>4</v>
      </c>
      <c r="N45" s="32">
        <v>2</v>
      </c>
      <c r="O45" s="32">
        <v>1</v>
      </c>
      <c r="P45" s="32">
        <v>3</v>
      </c>
      <c r="Q45" s="32">
        <v>2</v>
      </c>
      <c r="R45" s="32">
        <v>4</v>
      </c>
      <c r="S45" s="32">
        <v>1</v>
      </c>
      <c r="T45" s="32">
        <v>1</v>
      </c>
      <c r="U45" s="32">
        <v>3</v>
      </c>
      <c r="V45" s="32"/>
      <c r="W45" s="32">
        <v>3</v>
      </c>
      <c r="X45" s="32">
        <v>1</v>
      </c>
      <c r="Y45" s="3"/>
    </row>
    <row r="56" spans="1:11" x14ac:dyDescent="0.25">
      <c r="J56" s="29" t="s">
        <v>339</v>
      </c>
    </row>
    <row r="57" spans="1:11" x14ac:dyDescent="0.25">
      <c r="A57" s="30" t="s">
        <v>312</v>
      </c>
      <c r="B57" s="3" t="s">
        <v>315</v>
      </c>
      <c r="J57" s="30" t="s">
        <v>312</v>
      </c>
      <c r="K57" s="3" t="s">
        <v>340</v>
      </c>
    </row>
    <row r="58" spans="1:11" x14ac:dyDescent="0.25">
      <c r="A58" s="31" t="s">
        <v>38</v>
      </c>
      <c r="B58" s="32">
        <v>2</v>
      </c>
      <c r="J58" s="31" t="s">
        <v>9</v>
      </c>
      <c r="K58" s="18">
        <v>3713.6666666666665</v>
      </c>
    </row>
    <row r="59" spans="1:11" x14ac:dyDescent="0.25">
      <c r="A59" s="31" t="s">
        <v>22</v>
      </c>
      <c r="B59" s="32">
        <v>3</v>
      </c>
      <c r="J59" s="31" t="s">
        <v>13</v>
      </c>
      <c r="K59" s="18">
        <v>3708.7727272727275</v>
      </c>
    </row>
    <row r="60" spans="1:11" x14ac:dyDescent="0.25">
      <c r="A60" s="31" t="s">
        <v>313</v>
      </c>
      <c r="B60" s="24">
        <v>5</v>
      </c>
      <c r="J60" s="31" t="s">
        <v>30</v>
      </c>
      <c r="K60" s="18">
        <v>3639.7272727272725</v>
      </c>
    </row>
    <row r="61" spans="1:11" x14ac:dyDescent="0.25">
      <c r="J61" s="31" t="s">
        <v>38</v>
      </c>
      <c r="K61" s="18">
        <v>3576.04</v>
      </c>
    </row>
    <row r="62" spans="1:11" x14ac:dyDescent="0.25">
      <c r="J62" s="31" t="s">
        <v>22</v>
      </c>
      <c r="K62" s="18">
        <v>3573</v>
      </c>
    </row>
    <row r="63" spans="1:11" x14ac:dyDescent="0.25">
      <c r="J63" s="31" t="s">
        <v>313</v>
      </c>
      <c r="K63" s="18">
        <v>3627.0071428571428</v>
      </c>
    </row>
  </sheetData>
  <pageMargins left="0.7" right="0.7" top="0.75" bottom="0.75" header="0.3" footer="0.3"/>
  <drawing r:id="rId9"/>
  <extLst>
    <ext xmlns:x14="http://schemas.microsoft.com/office/spreadsheetml/2009/9/main" uri="{05C60535-1F16-4fd2-B633-F4F36F0B64E0}">
      <x14:sparklineGroups xmlns:xm="http://schemas.microsoft.com/office/excel/2006/main">
        <x14:sparklineGroup type="column" displayEmptyCellsAs="gap" xr2:uid="{FADEDF00-80A5-4062-B6E4-09E3B657AD08}">
          <x14:colorSeries rgb="FF376092"/>
          <x14:colorNegative rgb="FFD00000"/>
          <x14:colorAxis rgb="FF000000"/>
          <x14:colorMarkers rgb="FFD00000"/>
          <x14:colorFirst rgb="FFD00000"/>
          <x14:colorLast rgb="FFD00000"/>
          <x14:colorHigh rgb="FFD00000"/>
          <x14:colorLow rgb="FFD00000"/>
          <x14:sparklines>
            <x14:sparkline>
              <xm:f>Pivot!L40:X40</xm:f>
              <xm:sqref>Y40</xm:sqref>
            </x14:sparkline>
            <x14:sparkline>
              <xm:f>Pivot!L41:X41</xm:f>
              <xm:sqref>Y41</xm:sqref>
            </x14:sparkline>
            <x14:sparkline>
              <xm:f>Pivot!L42:X42</xm:f>
              <xm:sqref>Y42</xm:sqref>
            </x14:sparkline>
            <x14:sparkline>
              <xm:f>Pivot!L43:X43</xm:f>
              <xm:sqref>Y43</xm:sqref>
            </x14:sparkline>
            <x14:sparkline>
              <xm:f>Pivot!L44:X44</xm:f>
              <xm:sqref>Y44</xm:sqref>
            </x14:sparkline>
            <x14:sparkline>
              <xm:f>Pivot!L45:X45</xm:f>
              <xm:sqref>Y45</xm:sqref>
            </x14:sparkline>
          </x14:sparklines>
        </x14:sparklineGroup>
      </x14:sparklineGroups>
    </ext>
    <ext xmlns:x15="http://schemas.microsoft.com/office/spreadsheetml/2010/11/main" uri="{7E03D99C-DC04-49d9-9315-930204A7B6E9}">
      <x15:timelineRefs>
        <x15:timelineRef r:id="rId10"/>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302DB-BC2B-4D4B-BE1F-42AA1CC9B4FB}">
  <dimension ref="A1:AA141"/>
  <sheetViews>
    <sheetView workbookViewId="0">
      <selection activeCell="I23" sqref="I23"/>
    </sheetView>
  </sheetViews>
  <sheetFormatPr defaultRowHeight="15" x14ac:dyDescent="0.25"/>
  <cols>
    <col min="1" max="1" width="14.7109375" bestFit="1" customWidth="1"/>
    <col min="2" max="2" width="14.140625" customWidth="1"/>
    <col min="3" max="3" width="14.5703125" customWidth="1"/>
    <col min="4" max="4" width="11" customWidth="1"/>
    <col min="5" max="5" width="16.7109375" bestFit="1" customWidth="1"/>
    <col min="6" max="6" width="21.85546875" bestFit="1" customWidth="1"/>
    <col min="7" max="7" width="19.140625" style="27" customWidth="1"/>
    <col min="8" max="8" width="22" customWidth="1"/>
    <col min="9" max="9" width="22.7109375" style="14" customWidth="1"/>
    <col min="10" max="10" width="26.5703125" style="28" customWidth="1"/>
    <col min="11" max="11" width="12.42578125" customWidth="1"/>
    <col min="12" max="12" width="22.7109375" customWidth="1"/>
    <col min="13" max="13" width="22.28515625" customWidth="1"/>
    <col min="14" max="14" width="25.28515625" customWidth="1"/>
    <col min="15" max="15" width="16.5703125" customWidth="1"/>
    <col min="17" max="17" width="18.42578125" customWidth="1"/>
    <col min="18" max="18" width="16.28515625" customWidth="1"/>
    <col min="19" max="19" width="13.85546875" customWidth="1"/>
    <col min="20" max="20" width="16.85546875" customWidth="1"/>
    <col min="26" max="26" width="16.140625" customWidth="1"/>
    <col min="27" max="27" width="13.28515625" bestFit="1" customWidth="1"/>
  </cols>
  <sheetData>
    <row r="1" spans="1:27" x14ac:dyDescent="0.25">
      <c r="A1" s="8" t="s">
        <v>0</v>
      </c>
      <c r="B1" s="9" t="s">
        <v>1</v>
      </c>
      <c r="C1" s="9" t="s">
        <v>292</v>
      </c>
      <c r="D1" s="9" t="s">
        <v>291</v>
      </c>
      <c r="E1" s="9" t="s">
        <v>2</v>
      </c>
      <c r="F1" s="9" t="s">
        <v>3</v>
      </c>
      <c r="G1" s="23" t="s">
        <v>4</v>
      </c>
      <c r="H1" s="9" t="s">
        <v>271</v>
      </c>
      <c r="I1" s="12" t="s">
        <v>5</v>
      </c>
      <c r="J1" s="37" t="s">
        <v>336</v>
      </c>
      <c r="K1" s="17" t="s">
        <v>310</v>
      </c>
      <c r="L1" s="9" t="s">
        <v>6</v>
      </c>
      <c r="M1" s="9" t="s">
        <v>7</v>
      </c>
      <c r="N1" s="10" t="s">
        <v>8</v>
      </c>
    </row>
    <row r="2" spans="1:27" x14ac:dyDescent="0.25">
      <c r="A2" s="2" t="s">
        <v>11</v>
      </c>
      <c r="B2" s="3" t="s">
        <v>12</v>
      </c>
      <c r="C2" s="3" t="s">
        <v>277</v>
      </c>
      <c r="D2" s="3" t="s">
        <v>278</v>
      </c>
      <c r="E2" s="3" t="s">
        <v>13</v>
      </c>
      <c r="F2" s="3" t="s">
        <v>14</v>
      </c>
      <c r="G2" s="24">
        <v>54255</v>
      </c>
      <c r="H2" s="3" t="str">
        <f>IF(Sheet1[[#This Row],[Salary]]&lt;40000,"Low Salary",IF(Sheet1[[#This Row],[Salary]]&lt;=70000,"Good Salary","High Salary"))</f>
        <v>Good Salary</v>
      </c>
      <c r="I2" s="13">
        <v>42015</v>
      </c>
      <c r="J2" s="32" t="s">
        <v>335</v>
      </c>
      <c r="K2" s="18">
        <f ca="1">DATEDIF(Sheet1[[#This Row],[Date of Joining]],TODAY(),"d")</f>
        <v>4145</v>
      </c>
      <c r="L2" s="3">
        <v>1</v>
      </c>
      <c r="M2" s="3" t="s">
        <v>15</v>
      </c>
      <c r="N2" s="4" t="s">
        <v>16</v>
      </c>
    </row>
    <row r="3" spans="1:27" x14ac:dyDescent="0.25">
      <c r="A3" s="2" t="s">
        <v>17</v>
      </c>
      <c r="B3" s="3" t="s">
        <v>18</v>
      </c>
      <c r="C3" s="3" t="s">
        <v>279</v>
      </c>
      <c r="D3" s="3" t="s">
        <v>280</v>
      </c>
      <c r="E3" s="3" t="s">
        <v>9</v>
      </c>
      <c r="F3" s="3" t="s">
        <v>14</v>
      </c>
      <c r="G3" s="24">
        <v>63184</v>
      </c>
      <c r="H3" s="3" t="str">
        <f>IF(Sheet1[[#This Row],[Salary]]&lt;40000,"Low Salary",IF(Sheet1[[#This Row],[Salary]]&lt;=70000,"Good Salary","High Salary"))</f>
        <v>Good Salary</v>
      </c>
      <c r="I3" s="13">
        <v>42022</v>
      </c>
      <c r="J3" s="32" t="s">
        <v>335</v>
      </c>
      <c r="K3" s="18">
        <f ca="1">DATEDIF(Sheet1[[#This Row],[Date of Joining]],TODAY(),"d")</f>
        <v>4138</v>
      </c>
      <c r="L3" s="3">
        <v>2</v>
      </c>
      <c r="M3" s="3" t="s">
        <v>276</v>
      </c>
      <c r="N3" s="4" t="s">
        <v>19</v>
      </c>
    </row>
    <row r="4" spans="1:27" x14ac:dyDescent="0.25">
      <c r="A4" s="2" t="s">
        <v>20</v>
      </c>
      <c r="B4" s="3" t="s">
        <v>21</v>
      </c>
      <c r="C4" s="3" t="s">
        <v>281</v>
      </c>
      <c r="D4" s="3" t="s">
        <v>282</v>
      </c>
      <c r="E4" s="3" t="s">
        <v>22</v>
      </c>
      <c r="F4" s="3" t="s">
        <v>23</v>
      </c>
      <c r="G4" s="24">
        <v>94406</v>
      </c>
      <c r="H4" s="3" t="str">
        <f>IF(Sheet1[[#This Row],[Salary]]&lt;40000,"Low Salary",IF(Sheet1[[#This Row],[Salary]]&lt;=70000,"Good Salary","High Salary"))</f>
        <v>High Salary</v>
      </c>
      <c r="I4" s="13">
        <v>42029</v>
      </c>
      <c r="J4" s="32" t="s">
        <v>335</v>
      </c>
      <c r="K4" s="18">
        <f ca="1">DATEDIF(Sheet1[[#This Row],[Date of Joining]],TODAY(),"d")</f>
        <v>4131</v>
      </c>
      <c r="L4" s="3">
        <v>1</v>
      </c>
      <c r="M4" s="3" t="s">
        <v>24</v>
      </c>
      <c r="N4" s="4" t="s">
        <v>25</v>
      </c>
    </row>
    <row r="5" spans="1:27" x14ac:dyDescent="0.25">
      <c r="A5" s="2" t="s">
        <v>26</v>
      </c>
      <c r="B5" s="3" t="s">
        <v>27</v>
      </c>
      <c r="C5" s="3" t="s">
        <v>283</v>
      </c>
      <c r="D5" s="3" t="s">
        <v>284</v>
      </c>
      <c r="E5" s="3" t="s">
        <v>22</v>
      </c>
      <c r="F5" s="3" t="s">
        <v>14</v>
      </c>
      <c r="G5" s="24">
        <v>64120</v>
      </c>
      <c r="H5" s="3" t="str">
        <f>IF(Sheet1[[#This Row],[Salary]]&lt;40000,"Low Salary",IF(Sheet1[[#This Row],[Salary]]&lt;=70000,"Good Salary","High Salary"))</f>
        <v>Good Salary</v>
      </c>
      <c r="I5" s="13">
        <v>42036</v>
      </c>
      <c r="J5" s="32" t="s">
        <v>334</v>
      </c>
      <c r="K5" s="18">
        <f ca="1">DATEDIF(Sheet1[[#This Row],[Date of Joining]],TODAY(),"d")</f>
        <v>4124</v>
      </c>
      <c r="L5" s="3">
        <v>1</v>
      </c>
      <c r="M5" s="3" t="s">
        <v>24</v>
      </c>
      <c r="N5" s="4" t="s">
        <v>28</v>
      </c>
      <c r="S5" s="16" t="s">
        <v>4</v>
      </c>
      <c r="T5" s="16"/>
    </row>
    <row r="6" spans="1:27" x14ac:dyDescent="0.25">
      <c r="A6" s="2" t="s">
        <v>29</v>
      </c>
      <c r="B6" s="3" t="s">
        <v>18</v>
      </c>
      <c r="C6" s="3" t="s">
        <v>279</v>
      </c>
      <c r="D6" s="3" t="s">
        <v>280</v>
      </c>
      <c r="E6" s="3" t="s">
        <v>30</v>
      </c>
      <c r="F6" s="3" t="s">
        <v>31</v>
      </c>
      <c r="G6" s="24">
        <v>78421</v>
      </c>
      <c r="H6" s="3" t="str">
        <f>IF(Sheet1[[#This Row],[Salary]]&lt;40000,"Low Salary",IF(Sheet1[[#This Row],[Salary]]&lt;=70000,"Good Salary","High Salary"))</f>
        <v>High Salary</v>
      </c>
      <c r="I6" s="13">
        <v>42043</v>
      </c>
      <c r="J6" s="32" t="s">
        <v>334</v>
      </c>
      <c r="K6" s="18">
        <f ca="1">DATEDIF(Sheet1[[#This Row],[Date of Joining]],TODAY(),"d")</f>
        <v>4117</v>
      </c>
      <c r="L6" s="3">
        <v>2</v>
      </c>
      <c r="M6" s="3" t="s">
        <v>32</v>
      </c>
      <c r="N6" s="4" t="s">
        <v>33</v>
      </c>
      <c r="S6" s="3"/>
      <c r="T6" s="3"/>
    </row>
    <row r="7" spans="1:27" x14ac:dyDescent="0.25">
      <c r="A7" s="2" t="s">
        <v>34</v>
      </c>
      <c r="B7" s="3" t="s">
        <v>35</v>
      </c>
      <c r="C7" s="3" t="s">
        <v>285</v>
      </c>
      <c r="D7" s="3" t="s">
        <v>286</v>
      </c>
      <c r="E7" s="3" t="s">
        <v>22</v>
      </c>
      <c r="F7" s="3" t="s">
        <v>31</v>
      </c>
      <c r="G7" s="24">
        <v>67721</v>
      </c>
      <c r="H7" s="3" t="str">
        <f>IF(Sheet1[[#This Row],[Salary]]&lt;40000,"Low Salary",IF(Sheet1[[#This Row],[Salary]]&lt;=70000,"Good Salary","High Salary"))</f>
        <v>Good Salary</v>
      </c>
      <c r="I7" s="13">
        <v>42050</v>
      </c>
      <c r="J7" s="32" t="s">
        <v>334</v>
      </c>
      <c r="K7" s="18">
        <f ca="1">DATEDIF(Sheet1[[#This Row],[Date of Joining]],TODAY(),"d")</f>
        <v>4110</v>
      </c>
      <c r="L7" s="3">
        <v>3</v>
      </c>
      <c r="M7" s="3" t="s">
        <v>24</v>
      </c>
      <c r="N7" s="4" t="s">
        <v>25</v>
      </c>
      <c r="S7" s="3" t="s">
        <v>293</v>
      </c>
      <c r="T7" s="3">
        <v>65882.228571428568</v>
      </c>
    </row>
    <row r="8" spans="1:27" x14ac:dyDescent="0.25">
      <c r="A8" s="2" t="s">
        <v>36</v>
      </c>
      <c r="B8" s="3" t="s">
        <v>37</v>
      </c>
      <c r="C8" s="3" t="s">
        <v>287</v>
      </c>
      <c r="D8" s="3" t="s">
        <v>288</v>
      </c>
      <c r="E8" s="3" t="s">
        <v>38</v>
      </c>
      <c r="F8" s="3" t="s">
        <v>31</v>
      </c>
      <c r="G8" s="24">
        <v>35364</v>
      </c>
      <c r="H8" s="3" t="str">
        <f>IF(Sheet1[[#This Row],[Salary]]&lt;40000,"Low Salary",IF(Sheet1[[#This Row],[Salary]]&lt;=70000,"Good Salary","High Salary"))</f>
        <v>Low Salary</v>
      </c>
      <c r="I8" s="13">
        <v>42057</v>
      </c>
      <c r="J8" s="32" t="s">
        <v>334</v>
      </c>
      <c r="K8" s="18">
        <f ca="1">DATEDIF(Sheet1[[#This Row],[Date of Joining]],TODAY(),"d")</f>
        <v>4103</v>
      </c>
      <c r="L8" s="3">
        <v>2</v>
      </c>
      <c r="M8" s="3" t="s">
        <v>15</v>
      </c>
      <c r="N8" s="4" t="s">
        <v>39</v>
      </c>
      <c r="S8" s="3" t="s">
        <v>294</v>
      </c>
      <c r="T8" s="3">
        <v>1788.0689069111886</v>
      </c>
    </row>
    <row r="9" spans="1:27" x14ac:dyDescent="0.25">
      <c r="A9" s="2" t="s">
        <v>40</v>
      </c>
      <c r="B9" s="3" t="s">
        <v>18</v>
      </c>
      <c r="C9" s="3" t="s">
        <v>279</v>
      </c>
      <c r="D9" s="3" t="s">
        <v>280</v>
      </c>
      <c r="E9" s="3" t="s">
        <v>30</v>
      </c>
      <c r="F9" s="3" t="s">
        <v>14</v>
      </c>
      <c r="G9" s="24">
        <v>97881</v>
      </c>
      <c r="H9" s="3" t="str">
        <f>IF(Sheet1[[#This Row],[Salary]]&lt;40000,"Low Salary",IF(Sheet1[[#This Row],[Salary]]&lt;=70000,"Good Salary","High Salary"))</f>
        <v>High Salary</v>
      </c>
      <c r="I9" s="13">
        <v>42064</v>
      </c>
      <c r="J9" s="32" t="s">
        <v>333</v>
      </c>
      <c r="K9" s="18">
        <f ca="1">DATEDIF(Sheet1[[#This Row],[Date of Joining]],TODAY(),"d")</f>
        <v>4096</v>
      </c>
      <c r="L9" s="3">
        <v>3</v>
      </c>
      <c r="M9" s="3" t="s">
        <v>32</v>
      </c>
      <c r="N9" s="4" t="s">
        <v>41</v>
      </c>
      <c r="S9" s="3" t="s">
        <v>295</v>
      </c>
      <c r="T9" s="3">
        <v>65980.5</v>
      </c>
    </row>
    <row r="10" spans="1:27" x14ac:dyDescent="0.25">
      <c r="A10" s="2" t="s">
        <v>42</v>
      </c>
      <c r="B10" s="3" t="s">
        <v>37</v>
      </c>
      <c r="C10" s="3" t="s">
        <v>287</v>
      </c>
      <c r="D10" s="3" t="s">
        <v>288</v>
      </c>
      <c r="E10" s="3" t="s">
        <v>13</v>
      </c>
      <c r="F10" s="3" t="s">
        <v>43</v>
      </c>
      <c r="G10" s="24">
        <v>91846</v>
      </c>
      <c r="H10" s="3" t="str">
        <f>IF(Sheet1[[#This Row],[Salary]]&lt;40000,"Low Salary",IF(Sheet1[[#This Row],[Salary]]&lt;=70000,"Good Salary","High Salary"))</f>
        <v>High Salary</v>
      </c>
      <c r="I10" s="13">
        <v>42071</v>
      </c>
      <c r="J10" s="32" t="s">
        <v>333</v>
      </c>
      <c r="K10" s="18">
        <f ca="1">DATEDIF(Sheet1[[#This Row],[Date of Joining]],TODAY(),"d")</f>
        <v>4089</v>
      </c>
      <c r="L10" s="3">
        <v>3</v>
      </c>
      <c r="M10" s="3" t="s">
        <v>24</v>
      </c>
      <c r="N10" s="4" t="s">
        <v>44</v>
      </c>
      <c r="S10" s="3" t="s">
        <v>296</v>
      </c>
      <c r="T10" s="3">
        <v>65882</v>
      </c>
    </row>
    <row r="11" spans="1:27" x14ac:dyDescent="0.25">
      <c r="A11" s="2" t="s">
        <v>45</v>
      </c>
      <c r="B11" s="3" t="s">
        <v>35</v>
      </c>
      <c r="C11" s="3" t="s">
        <v>285</v>
      </c>
      <c r="D11" s="3" t="s">
        <v>286</v>
      </c>
      <c r="E11" s="3" t="s">
        <v>9</v>
      </c>
      <c r="F11" s="3" t="s">
        <v>43</v>
      </c>
      <c r="G11" s="24">
        <v>64247</v>
      </c>
      <c r="H11" s="3" t="str">
        <f>IF(Sheet1[[#This Row],[Salary]]&lt;40000,"Low Salary",IF(Sheet1[[#This Row],[Salary]]&lt;=70000,"Good Salary","High Salary"))</f>
        <v>Good Salary</v>
      </c>
      <c r="I11" s="13">
        <v>42078</v>
      </c>
      <c r="J11" s="32" t="s">
        <v>333</v>
      </c>
      <c r="K11" s="18">
        <f ca="1">DATEDIF(Sheet1[[#This Row],[Date of Joining]],TODAY(),"d")</f>
        <v>4082</v>
      </c>
      <c r="L11" s="3">
        <v>1</v>
      </c>
      <c r="M11" s="3" t="s">
        <v>32</v>
      </c>
      <c r="N11" s="4" t="s">
        <v>46</v>
      </c>
      <c r="S11" s="3" t="s">
        <v>297</v>
      </c>
      <c r="T11" s="3">
        <v>21156.716621932625</v>
      </c>
      <c r="Z11" s="29" t="s">
        <v>342</v>
      </c>
    </row>
    <row r="12" spans="1:27" x14ac:dyDescent="0.25">
      <c r="A12" s="2" t="s">
        <v>47</v>
      </c>
      <c r="B12" s="3" t="s">
        <v>35</v>
      </c>
      <c r="C12" s="3" t="s">
        <v>285</v>
      </c>
      <c r="D12" s="3" t="s">
        <v>286</v>
      </c>
      <c r="E12" s="3" t="s">
        <v>30</v>
      </c>
      <c r="F12" s="3" t="s">
        <v>23</v>
      </c>
      <c r="G12" s="24">
        <v>91180</v>
      </c>
      <c r="H12" s="3" t="str">
        <f>IF(Sheet1[[#This Row],[Salary]]&lt;40000,"Low Salary",IF(Sheet1[[#This Row],[Salary]]&lt;=70000,"Good Salary","High Salary"))</f>
        <v>High Salary</v>
      </c>
      <c r="I12" s="13">
        <v>42085</v>
      </c>
      <c r="J12" s="32" t="s">
        <v>333</v>
      </c>
      <c r="K12" s="18">
        <f ca="1">DATEDIF(Sheet1[[#This Row],[Date of Joining]],TODAY(),"d")</f>
        <v>4075</v>
      </c>
      <c r="L12" s="3">
        <v>5</v>
      </c>
      <c r="M12" s="3" t="s">
        <v>24</v>
      </c>
      <c r="N12" s="4" t="s">
        <v>48</v>
      </c>
      <c r="S12" s="3" t="s">
        <v>298</v>
      </c>
      <c r="T12" s="3">
        <v>447606658.22076023</v>
      </c>
      <c r="V12" s="11" t="s">
        <v>265</v>
      </c>
      <c r="Z12" s="3" t="s">
        <v>343</v>
      </c>
      <c r="AA12" s="3">
        <f>COUNTA(A:A)</f>
        <v>141</v>
      </c>
    </row>
    <row r="13" spans="1:27" x14ac:dyDescent="0.25">
      <c r="A13" s="2" t="s">
        <v>49</v>
      </c>
      <c r="B13" s="3" t="s">
        <v>50</v>
      </c>
      <c r="C13" s="3" t="s">
        <v>289</v>
      </c>
      <c r="D13" s="3" t="s">
        <v>290</v>
      </c>
      <c r="E13" s="3" t="s">
        <v>22</v>
      </c>
      <c r="F13" s="3" t="s">
        <v>31</v>
      </c>
      <c r="G13" s="24">
        <v>96418</v>
      </c>
      <c r="H13" s="3" t="str">
        <f>IF(Sheet1[[#This Row],[Salary]]&lt;40000,"Low Salary",IF(Sheet1[[#This Row],[Salary]]&lt;=70000,"Good Salary","High Salary"))</f>
        <v>High Salary</v>
      </c>
      <c r="I13" s="13">
        <v>42092</v>
      </c>
      <c r="J13" s="32" t="s">
        <v>333</v>
      </c>
      <c r="K13" s="18">
        <f ca="1">DATEDIF(Sheet1[[#This Row],[Date of Joining]],TODAY(),"d")</f>
        <v>4068</v>
      </c>
      <c r="L13" s="3">
        <v>5</v>
      </c>
      <c r="M13" s="3" t="s">
        <v>24</v>
      </c>
      <c r="N13" s="4" t="s">
        <v>16</v>
      </c>
      <c r="S13" s="3" t="s">
        <v>299</v>
      </c>
      <c r="T13" s="3">
        <v>-1.1994010840132667</v>
      </c>
      <c r="V13" s="3" t="s">
        <v>266</v>
      </c>
      <c r="W13" s="3">
        <f>SUM(D:D)</f>
        <v>0</v>
      </c>
      <c r="Z13" s="3" t="s">
        <v>349</v>
      </c>
      <c r="AA13" s="24">
        <f>AVERAGE(G:G)</f>
        <v>65882.228571428568</v>
      </c>
    </row>
    <row r="14" spans="1:27" x14ac:dyDescent="0.25">
      <c r="A14" s="2" t="s">
        <v>51</v>
      </c>
      <c r="B14" s="3" t="s">
        <v>35</v>
      </c>
      <c r="C14" s="3" t="s">
        <v>285</v>
      </c>
      <c r="D14" s="3" t="s">
        <v>286</v>
      </c>
      <c r="E14" s="3" t="s">
        <v>38</v>
      </c>
      <c r="F14" s="3" t="s">
        <v>31</v>
      </c>
      <c r="G14" s="24">
        <v>62158</v>
      </c>
      <c r="H14" s="3" t="str">
        <f>IF(Sheet1[[#This Row],[Salary]]&lt;40000,"Low Salary",IF(Sheet1[[#This Row],[Salary]]&lt;=70000,"Good Salary","High Salary"))</f>
        <v>Good Salary</v>
      </c>
      <c r="I14" s="13">
        <v>42099</v>
      </c>
      <c r="J14" s="32" t="s">
        <v>324</v>
      </c>
      <c r="K14" s="18">
        <f ca="1">DATEDIF(Sheet1[[#This Row],[Date of Joining]],TODAY(),"d")</f>
        <v>4061</v>
      </c>
      <c r="L14" s="3">
        <v>4</v>
      </c>
      <c r="M14" s="3" t="s">
        <v>276</v>
      </c>
      <c r="N14" s="4" t="s">
        <v>52</v>
      </c>
      <c r="S14" s="3" t="s">
        <v>300</v>
      </c>
      <c r="T14" s="3">
        <v>-0.1084811937382482</v>
      </c>
      <c r="V14" s="3" t="s">
        <v>267</v>
      </c>
      <c r="W14" s="3" t="e">
        <f>AVERAGE(D:D)</f>
        <v>#DIV/0!</v>
      </c>
      <c r="Z14" s="3" t="s">
        <v>344</v>
      </c>
      <c r="AA14" s="24">
        <f>SUM(G:G)</f>
        <v>9223512</v>
      </c>
    </row>
    <row r="15" spans="1:27" x14ac:dyDescent="0.25">
      <c r="A15" s="2" t="s">
        <v>53</v>
      </c>
      <c r="B15" s="3" t="s">
        <v>27</v>
      </c>
      <c r="C15" s="3" t="s">
        <v>283</v>
      </c>
      <c r="D15" s="3" t="s">
        <v>284</v>
      </c>
      <c r="E15" s="3" t="s">
        <v>13</v>
      </c>
      <c r="F15" s="3" t="s">
        <v>31</v>
      </c>
      <c r="G15" s="24">
        <v>59894</v>
      </c>
      <c r="H15" s="3" t="str">
        <f>IF(Sheet1[[#This Row],[Salary]]&lt;40000,"Low Salary",IF(Sheet1[[#This Row],[Salary]]&lt;=70000,"Good Salary","High Salary"))</f>
        <v>Good Salary</v>
      </c>
      <c r="I15" s="13">
        <v>42106</v>
      </c>
      <c r="J15" s="32" t="s">
        <v>324</v>
      </c>
      <c r="K15" s="18">
        <f ca="1">DATEDIF(Sheet1[[#This Row],[Date of Joining]],TODAY(),"d")</f>
        <v>4054</v>
      </c>
      <c r="L15" s="3">
        <v>2</v>
      </c>
      <c r="M15" s="3" t="s">
        <v>24</v>
      </c>
      <c r="N15" s="4" t="s">
        <v>54</v>
      </c>
      <c r="S15" s="3" t="s">
        <v>301</v>
      </c>
      <c r="T15" s="3">
        <v>69341</v>
      </c>
      <c r="V15" s="3" t="s">
        <v>268</v>
      </c>
      <c r="W15" s="3">
        <f>MIN(D:D)</f>
        <v>0</v>
      </c>
      <c r="Z15" s="3" t="s">
        <v>345</v>
      </c>
      <c r="AA15" s="24">
        <f>MAX(G:G)</f>
        <v>99621</v>
      </c>
    </row>
    <row r="16" spans="1:27" x14ac:dyDescent="0.25">
      <c r="A16" s="2" t="s">
        <v>56</v>
      </c>
      <c r="B16" s="3" t="s">
        <v>50</v>
      </c>
      <c r="C16" s="3" t="s">
        <v>289</v>
      </c>
      <c r="D16" s="3" t="s">
        <v>290</v>
      </c>
      <c r="E16" s="3" t="s">
        <v>38</v>
      </c>
      <c r="F16" s="3" t="s">
        <v>14</v>
      </c>
      <c r="G16" s="24">
        <v>90271</v>
      </c>
      <c r="H16" s="3" t="str">
        <f>IF(Sheet1[[#This Row],[Salary]]&lt;40000,"Low Salary",IF(Sheet1[[#This Row],[Salary]]&lt;=70000,"Good Salary","High Salary"))</f>
        <v>High Salary</v>
      </c>
      <c r="I16" s="13">
        <v>42120</v>
      </c>
      <c r="J16" s="32" t="s">
        <v>324</v>
      </c>
      <c r="K16" s="18">
        <f ca="1">DATEDIF(Sheet1[[#This Row],[Date of Joining]],TODAY(),"d")</f>
        <v>4040</v>
      </c>
      <c r="L16" s="3">
        <v>3</v>
      </c>
      <c r="M16" s="3" t="s">
        <v>276</v>
      </c>
      <c r="N16" s="4" t="s">
        <v>57</v>
      </c>
      <c r="S16" s="3" t="s">
        <v>302</v>
      </c>
      <c r="T16" s="3">
        <v>30280</v>
      </c>
      <c r="V16" s="3" t="s">
        <v>269</v>
      </c>
      <c r="W16" s="3">
        <f>COUNT(D:D)</f>
        <v>0</v>
      </c>
      <c r="Z16" s="3" t="s">
        <v>346</v>
      </c>
      <c r="AA16" s="36">
        <f>AVERAGE(L:L)</f>
        <v>2.8928571428571428</v>
      </c>
    </row>
    <row r="17" spans="1:27" x14ac:dyDescent="0.25">
      <c r="A17" s="2" t="s">
        <v>58</v>
      </c>
      <c r="B17" s="3" t="s">
        <v>27</v>
      </c>
      <c r="C17" s="3" t="s">
        <v>283</v>
      </c>
      <c r="D17" s="3" t="s">
        <v>284</v>
      </c>
      <c r="E17" s="3" t="s">
        <v>9</v>
      </c>
      <c r="F17" s="3" t="s">
        <v>59</v>
      </c>
      <c r="G17" s="24">
        <v>41341</v>
      </c>
      <c r="H17" s="3" t="str">
        <f>IF(Sheet1[[#This Row],[Salary]]&lt;40000,"Low Salary",IF(Sheet1[[#This Row],[Salary]]&lt;=70000,"Good Salary","High Salary"))</f>
        <v>Good Salary</v>
      </c>
      <c r="I17" s="13">
        <v>42127</v>
      </c>
      <c r="J17" s="32" t="s">
        <v>325</v>
      </c>
      <c r="K17" s="18">
        <f ca="1">DATEDIF(Sheet1[[#This Row],[Date of Joining]],TODAY(),"d")</f>
        <v>4033</v>
      </c>
      <c r="L17" s="3">
        <v>1</v>
      </c>
      <c r="M17" s="3" t="s">
        <v>15</v>
      </c>
      <c r="N17" s="4" t="s">
        <v>60</v>
      </c>
      <c r="S17" s="3" t="s">
        <v>303</v>
      </c>
      <c r="T17" s="3">
        <v>99621</v>
      </c>
      <c r="V17" s="3" t="s">
        <v>270</v>
      </c>
      <c r="W17" s="3">
        <f>COUNTA(D:D)</f>
        <v>141</v>
      </c>
      <c r="Z17" s="3" t="s">
        <v>347</v>
      </c>
      <c r="AA17" s="18">
        <f ca="1">MAX(K:K)</f>
        <v>4145</v>
      </c>
    </row>
    <row r="18" spans="1:27" x14ac:dyDescent="0.25">
      <c r="A18" s="2" t="s">
        <v>61</v>
      </c>
      <c r="B18" s="3" t="s">
        <v>18</v>
      </c>
      <c r="C18" s="3" t="s">
        <v>279</v>
      </c>
      <c r="D18" s="3" t="s">
        <v>280</v>
      </c>
      <c r="E18" s="3" t="s">
        <v>9</v>
      </c>
      <c r="F18" s="3" t="s">
        <v>43</v>
      </c>
      <c r="G18" s="24">
        <v>73602</v>
      </c>
      <c r="H18" s="3" t="str">
        <f>IF(Sheet1[[#This Row],[Salary]]&lt;40000,"Low Salary",IF(Sheet1[[#This Row],[Salary]]&lt;=70000,"Good Salary","High Salary"))</f>
        <v>High Salary</v>
      </c>
      <c r="I18" s="13">
        <v>42134</v>
      </c>
      <c r="J18" s="32" t="s">
        <v>325</v>
      </c>
      <c r="K18" s="18">
        <f ca="1">DATEDIF(Sheet1[[#This Row],[Date of Joining]],TODAY(),"d")</f>
        <v>4026</v>
      </c>
      <c r="L18" s="3">
        <v>3</v>
      </c>
      <c r="M18" s="3" t="s">
        <v>276</v>
      </c>
      <c r="N18" s="4" t="s">
        <v>62</v>
      </c>
      <c r="S18" s="3" t="s">
        <v>266</v>
      </c>
      <c r="T18" s="3">
        <v>9223512</v>
      </c>
      <c r="Z18" s="3" t="s">
        <v>348</v>
      </c>
      <c r="AA18" s="3">
        <f>COUNTIF(F:F,"India")</f>
        <v>54</v>
      </c>
    </row>
    <row r="19" spans="1:27" x14ac:dyDescent="0.25">
      <c r="A19" s="2" t="s">
        <v>63</v>
      </c>
      <c r="B19" s="3" t="s">
        <v>12</v>
      </c>
      <c r="C19" s="3" t="s">
        <v>277</v>
      </c>
      <c r="D19" s="3" t="s">
        <v>278</v>
      </c>
      <c r="E19" s="3" t="s">
        <v>38</v>
      </c>
      <c r="F19" s="3" t="s">
        <v>31</v>
      </c>
      <c r="G19" s="24">
        <v>67531</v>
      </c>
      <c r="H19" s="3" t="str">
        <f>IF(Sheet1[[#This Row],[Salary]]&lt;40000,"Low Salary",IF(Sheet1[[#This Row],[Salary]]&lt;=70000,"Good Salary","High Salary"))</f>
        <v>Good Salary</v>
      </c>
      <c r="I19" s="13">
        <v>42141</v>
      </c>
      <c r="J19" s="32" t="s">
        <v>325</v>
      </c>
      <c r="K19" s="18">
        <f ca="1">DATEDIF(Sheet1[[#This Row],[Date of Joining]],TODAY(),"d")</f>
        <v>4019</v>
      </c>
      <c r="L19" s="3">
        <v>5</v>
      </c>
      <c r="M19" s="3" t="s">
        <v>32</v>
      </c>
      <c r="N19" s="4" t="s">
        <v>64</v>
      </c>
      <c r="S19" s="3" t="s">
        <v>269</v>
      </c>
      <c r="T19" s="3">
        <v>140</v>
      </c>
    </row>
    <row r="20" spans="1:27" x14ac:dyDescent="0.25">
      <c r="A20" s="2" t="s">
        <v>65</v>
      </c>
      <c r="B20" s="3" t="s">
        <v>27</v>
      </c>
      <c r="C20" s="3" t="s">
        <v>283</v>
      </c>
      <c r="D20" s="3" t="s">
        <v>284</v>
      </c>
      <c r="E20" s="3" t="s">
        <v>13</v>
      </c>
      <c r="F20" s="3" t="s">
        <v>23</v>
      </c>
      <c r="G20" s="25">
        <v>65882</v>
      </c>
      <c r="H20" s="3" t="str">
        <f>IF(Sheet1[[#This Row],[Salary]]&lt;40000,"Low Salary",IF(Sheet1[[#This Row],[Salary]]&lt;=70000,"Good Salary","High Salary"))</f>
        <v>Good Salary</v>
      </c>
      <c r="I20" s="13">
        <v>42148</v>
      </c>
      <c r="J20" s="32" t="s">
        <v>325</v>
      </c>
      <c r="K20" s="18">
        <f ca="1">DATEDIF(Sheet1[[#This Row],[Date of Joining]],TODAY(),"d")</f>
        <v>4012</v>
      </c>
      <c r="L20" s="3">
        <v>2</v>
      </c>
      <c r="M20" s="3" t="s">
        <v>15</v>
      </c>
      <c r="N20" s="4" t="s">
        <v>66</v>
      </c>
    </row>
    <row r="21" spans="1:27" x14ac:dyDescent="0.25">
      <c r="A21" s="2" t="s">
        <v>67</v>
      </c>
      <c r="B21" s="3" t="s">
        <v>27</v>
      </c>
      <c r="C21" s="3" t="s">
        <v>283</v>
      </c>
      <c r="D21" s="3" t="s">
        <v>284</v>
      </c>
      <c r="E21" s="3" t="s">
        <v>13</v>
      </c>
      <c r="F21" s="3" t="s">
        <v>31</v>
      </c>
      <c r="G21" s="24">
        <v>98922</v>
      </c>
      <c r="H21" s="3" t="str">
        <f>IF(Sheet1[[#This Row],[Salary]]&lt;40000,"Low Salary",IF(Sheet1[[#This Row],[Salary]]&lt;=70000,"Good Salary","High Salary"))</f>
        <v>High Salary</v>
      </c>
      <c r="I21" s="13">
        <v>42155</v>
      </c>
      <c r="J21" s="32" t="s">
        <v>325</v>
      </c>
      <c r="K21" s="18">
        <f ca="1">DATEDIF(Sheet1[[#This Row],[Date of Joining]],TODAY(),"d")</f>
        <v>4005</v>
      </c>
      <c r="L21" s="3">
        <v>4</v>
      </c>
      <c r="M21" s="3" t="s">
        <v>276</v>
      </c>
      <c r="N21" s="4" t="s">
        <v>68</v>
      </c>
      <c r="V21" s="3" t="s">
        <v>272</v>
      </c>
      <c r="W21" s="3">
        <f>SUMIF(E2:E141,"HR",G2:G141)</f>
        <v>1479152</v>
      </c>
    </row>
    <row r="22" spans="1:27" x14ac:dyDescent="0.25">
      <c r="A22" s="2" t="s">
        <v>69</v>
      </c>
      <c r="B22" s="3" t="s">
        <v>12</v>
      </c>
      <c r="C22" s="3" t="s">
        <v>277</v>
      </c>
      <c r="D22" s="3" t="s">
        <v>278</v>
      </c>
      <c r="E22" s="3" t="s">
        <v>9</v>
      </c>
      <c r="F22" s="3" t="s">
        <v>31</v>
      </c>
      <c r="G22" s="24">
        <v>38333</v>
      </c>
      <c r="H22" s="3" t="str">
        <f>IF(Sheet1[[#This Row],[Salary]]&lt;40000,"Low Salary",IF(Sheet1[[#This Row],[Salary]]&lt;=70000,"Good Salary","High Salary"))</f>
        <v>Low Salary</v>
      </c>
      <c r="I22" s="13">
        <v>42162</v>
      </c>
      <c r="J22" s="32" t="s">
        <v>326</v>
      </c>
      <c r="K22" s="18">
        <f ca="1">DATEDIF(Sheet1[[#This Row],[Date of Joining]],TODAY(),"d")</f>
        <v>3998</v>
      </c>
      <c r="L22" s="3">
        <v>5</v>
      </c>
      <c r="M22" s="3" t="s">
        <v>276</v>
      </c>
      <c r="N22" s="4" t="s">
        <v>70</v>
      </c>
      <c r="V22" s="3" t="s">
        <v>273</v>
      </c>
      <c r="W22" s="3">
        <f>COUNTIF(F2:F141,"Germany")</f>
        <v>22</v>
      </c>
    </row>
    <row r="23" spans="1:27" x14ac:dyDescent="0.25">
      <c r="A23" s="2" t="s">
        <v>71</v>
      </c>
      <c r="B23" s="3" t="s">
        <v>18</v>
      </c>
      <c r="C23" s="3" t="s">
        <v>279</v>
      </c>
      <c r="D23" s="3" t="s">
        <v>280</v>
      </c>
      <c r="E23" s="3" t="s">
        <v>38</v>
      </c>
      <c r="F23" s="3" t="s">
        <v>43</v>
      </c>
      <c r="G23" s="24">
        <v>36515</v>
      </c>
      <c r="H23" s="3" t="str">
        <f>IF(Sheet1[[#This Row],[Salary]]&lt;40000,"Low Salary",IF(Sheet1[[#This Row],[Salary]]&lt;=70000,"Good Salary","High Salary"))</f>
        <v>Low Salary</v>
      </c>
      <c r="I23" s="13">
        <v>42169</v>
      </c>
      <c r="J23" s="32" t="s">
        <v>326</v>
      </c>
      <c r="K23" s="18">
        <f ca="1">DATEDIF(Sheet1[[#This Row],[Date of Joining]],TODAY(),"d")</f>
        <v>3991</v>
      </c>
      <c r="L23" s="3">
        <v>3</v>
      </c>
      <c r="M23" s="3" t="s">
        <v>24</v>
      </c>
      <c r="N23" s="4" t="s">
        <v>72</v>
      </c>
      <c r="V23" s="3" t="s">
        <v>274</v>
      </c>
      <c r="W23" s="3">
        <f>AVERAGEIF(E2:E141,"HR",G2:G141)</f>
        <v>67234.181818181823</v>
      </c>
    </row>
    <row r="24" spans="1:27" x14ac:dyDescent="0.25">
      <c r="A24" s="2" t="s">
        <v>73</v>
      </c>
      <c r="B24" s="3" t="s">
        <v>35</v>
      </c>
      <c r="C24" s="3" t="s">
        <v>285</v>
      </c>
      <c r="D24" s="3" t="s">
        <v>286</v>
      </c>
      <c r="E24" s="3" t="s">
        <v>9</v>
      </c>
      <c r="F24" s="3" t="s">
        <v>31</v>
      </c>
      <c r="G24" s="24">
        <v>91005</v>
      </c>
      <c r="H24" s="3" t="str">
        <f>IF(Sheet1[[#This Row],[Salary]]&lt;40000,"Low Salary",IF(Sheet1[[#This Row],[Salary]]&lt;=70000,"Good Salary","High Salary"))</f>
        <v>High Salary</v>
      </c>
      <c r="I24" s="13">
        <v>42176</v>
      </c>
      <c r="J24" s="32" t="s">
        <v>326</v>
      </c>
      <c r="K24" s="18">
        <f ca="1">DATEDIF(Sheet1[[#This Row],[Date of Joining]],TODAY(),"d")</f>
        <v>3984</v>
      </c>
      <c r="L24" s="3">
        <v>1</v>
      </c>
      <c r="M24" s="3" t="s">
        <v>15</v>
      </c>
      <c r="N24" s="4" t="s">
        <v>74</v>
      </c>
    </row>
    <row r="25" spans="1:27" x14ac:dyDescent="0.25">
      <c r="A25" s="2" t="s">
        <v>75</v>
      </c>
      <c r="B25" s="3" t="s">
        <v>37</v>
      </c>
      <c r="C25" s="3" t="s">
        <v>287</v>
      </c>
      <c r="D25" s="3" t="s">
        <v>288</v>
      </c>
      <c r="E25" s="3" t="s">
        <v>38</v>
      </c>
      <c r="F25" s="3" t="s">
        <v>31</v>
      </c>
      <c r="G25" s="24">
        <v>52272</v>
      </c>
      <c r="H25" s="3" t="str">
        <f>IF(Sheet1[[#This Row],[Salary]]&lt;40000,"Low Salary",IF(Sheet1[[#This Row],[Salary]]&lt;=70000,"Good Salary","High Salary"))</f>
        <v>Good Salary</v>
      </c>
      <c r="I25" s="13">
        <v>42183</v>
      </c>
      <c r="J25" s="32" t="s">
        <v>326</v>
      </c>
      <c r="K25" s="18">
        <f ca="1">DATEDIF(Sheet1[[#This Row],[Date of Joining]],TODAY(),"d")</f>
        <v>3977</v>
      </c>
      <c r="L25" s="3">
        <v>3</v>
      </c>
      <c r="M25" s="3" t="s">
        <v>276</v>
      </c>
      <c r="N25" s="4" t="s">
        <v>76</v>
      </c>
    </row>
    <row r="26" spans="1:27" x14ac:dyDescent="0.25">
      <c r="A26" s="2" t="s">
        <v>77</v>
      </c>
      <c r="B26" s="3" t="s">
        <v>12</v>
      </c>
      <c r="C26" s="3" t="s">
        <v>277</v>
      </c>
      <c r="D26" s="3" t="s">
        <v>278</v>
      </c>
      <c r="E26" s="3" t="s">
        <v>22</v>
      </c>
      <c r="F26" s="3" t="s">
        <v>14</v>
      </c>
      <c r="G26" s="24">
        <v>76518</v>
      </c>
      <c r="H26" s="3" t="str">
        <f>IF(Sheet1[[#This Row],[Salary]]&lt;40000,"Low Salary",IF(Sheet1[[#This Row],[Salary]]&lt;=70000,"Good Salary","High Salary"))</f>
        <v>High Salary</v>
      </c>
      <c r="I26" s="13">
        <v>42190</v>
      </c>
      <c r="J26" s="32" t="s">
        <v>327</v>
      </c>
      <c r="K26" s="18">
        <f ca="1">DATEDIF(Sheet1[[#This Row],[Date of Joining]],TODAY(),"d")</f>
        <v>3970</v>
      </c>
      <c r="L26" s="3">
        <v>2</v>
      </c>
      <c r="M26" s="3" t="s">
        <v>32</v>
      </c>
      <c r="N26" s="4" t="s">
        <v>78</v>
      </c>
      <c r="U26" t="s">
        <v>275</v>
      </c>
      <c r="V26">
        <f>AVERAGE(Sheet1[Salary])</f>
        <v>65882.228571428568</v>
      </c>
    </row>
    <row r="27" spans="1:27" x14ac:dyDescent="0.25">
      <c r="A27" s="2" t="s">
        <v>79</v>
      </c>
      <c r="B27" s="3" t="s">
        <v>18</v>
      </c>
      <c r="C27" s="3" t="s">
        <v>279</v>
      </c>
      <c r="D27" s="3" t="s">
        <v>280</v>
      </c>
      <c r="E27" s="3" t="s">
        <v>30</v>
      </c>
      <c r="F27" s="3" t="s">
        <v>43</v>
      </c>
      <c r="G27" s="24">
        <v>41448</v>
      </c>
      <c r="H27" s="3" t="str">
        <f>IF(Sheet1[[#This Row],[Salary]]&lt;40000,"Low Salary",IF(Sheet1[[#This Row],[Salary]]&lt;=70000,"Good Salary","High Salary"))</f>
        <v>Good Salary</v>
      </c>
      <c r="I27" s="13">
        <v>42197</v>
      </c>
      <c r="J27" s="32" t="s">
        <v>327</v>
      </c>
      <c r="K27" s="18">
        <f ca="1">DATEDIF(Sheet1[[#This Row],[Date of Joining]],TODAY(),"d")</f>
        <v>3963</v>
      </c>
      <c r="L27" s="3">
        <v>3</v>
      </c>
      <c r="M27" s="3" t="s">
        <v>15</v>
      </c>
      <c r="N27" s="4" t="s">
        <v>80</v>
      </c>
    </row>
    <row r="28" spans="1:27" x14ac:dyDescent="0.25">
      <c r="A28" s="2" t="s">
        <v>81</v>
      </c>
      <c r="B28" s="3" t="s">
        <v>21</v>
      </c>
      <c r="C28" s="3" t="s">
        <v>281</v>
      </c>
      <c r="D28" s="3" t="s">
        <v>282</v>
      </c>
      <c r="E28" s="3" t="s">
        <v>13</v>
      </c>
      <c r="F28" s="3" t="s">
        <v>43</v>
      </c>
      <c r="G28" s="24">
        <v>49282</v>
      </c>
      <c r="H28" s="3" t="str">
        <f>IF(Sheet1[[#This Row],[Salary]]&lt;40000,"Low Salary",IF(Sheet1[[#This Row],[Salary]]&lt;=70000,"Good Salary","High Salary"))</f>
        <v>Good Salary</v>
      </c>
      <c r="I28" s="13">
        <v>42204</v>
      </c>
      <c r="J28" s="32" t="s">
        <v>327</v>
      </c>
      <c r="K28" s="18">
        <f ca="1">DATEDIF(Sheet1[[#This Row],[Date of Joining]],TODAY(),"d")</f>
        <v>3956</v>
      </c>
      <c r="L28" s="3">
        <v>2</v>
      </c>
      <c r="M28" s="3" t="s">
        <v>32</v>
      </c>
      <c r="N28" s="4" t="s">
        <v>82</v>
      </c>
    </row>
    <row r="29" spans="1:27" x14ac:dyDescent="0.25">
      <c r="A29" s="2" t="s">
        <v>83</v>
      </c>
      <c r="B29" s="3" t="s">
        <v>50</v>
      </c>
      <c r="C29" s="3" t="s">
        <v>289</v>
      </c>
      <c r="D29" s="3" t="s">
        <v>290</v>
      </c>
      <c r="E29" s="3" t="s">
        <v>38</v>
      </c>
      <c r="F29" s="3" t="s">
        <v>43</v>
      </c>
      <c r="G29" s="24">
        <v>92959</v>
      </c>
      <c r="H29" s="3" t="str">
        <f>IF(Sheet1[[#This Row],[Salary]]&lt;40000,"Low Salary",IF(Sheet1[[#This Row],[Salary]]&lt;=70000,"Good Salary","High Salary"))</f>
        <v>High Salary</v>
      </c>
      <c r="I29" s="13">
        <v>42211</v>
      </c>
      <c r="J29" s="32" t="s">
        <v>327</v>
      </c>
      <c r="K29" s="18">
        <f ca="1">DATEDIF(Sheet1[[#This Row],[Date of Joining]],TODAY(),"d")</f>
        <v>3949</v>
      </c>
      <c r="L29" s="3">
        <v>5</v>
      </c>
      <c r="M29" s="3" t="s">
        <v>276</v>
      </c>
      <c r="N29" s="4" t="s">
        <v>84</v>
      </c>
      <c r="S29" t="s">
        <v>304</v>
      </c>
    </row>
    <row r="30" spans="1:27" x14ac:dyDescent="0.25">
      <c r="A30" s="2" t="s">
        <v>85</v>
      </c>
      <c r="B30" s="3" t="s">
        <v>12</v>
      </c>
      <c r="C30" s="3" t="s">
        <v>277</v>
      </c>
      <c r="D30" s="3" t="s">
        <v>278</v>
      </c>
      <c r="E30" s="3" t="s">
        <v>13</v>
      </c>
      <c r="F30" s="3" t="s">
        <v>14</v>
      </c>
      <c r="G30" s="24">
        <v>92299</v>
      </c>
      <c r="H30" s="3" t="str">
        <f>IF(Sheet1[[#This Row],[Salary]]&lt;40000,"Low Salary",IF(Sheet1[[#This Row],[Salary]]&lt;=70000,"Good Salary","High Salary"))</f>
        <v>High Salary</v>
      </c>
      <c r="I30" s="13">
        <v>42225</v>
      </c>
      <c r="J30" s="32" t="s">
        <v>328</v>
      </c>
      <c r="K30" s="18">
        <f ca="1">DATEDIF(Sheet1[[#This Row],[Date of Joining]],TODAY(),"d")</f>
        <v>3935</v>
      </c>
      <c r="L30" s="3">
        <v>3</v>
      </c>
      <c r="M30" s="3" t="s">
        <v>24</v>
      </c>
      <c r="N30" s="4" t="s">
        <v>86</v>
      </c>
      <c r="S30" s="14" t="s">
        <v>305</v>
      </c>
      <c r="T30" s="14">
        <f ca="1">TODAY()</f>
        <v>46160</v>
      </c>
    </row>
    <row r="31" spans="1:27" x14ac:dyDescent="0.25">
      <c r="A31" s="2" t="s">
        <v>87</v>
      </c>
      <c r="B31" s="3" t="s">
        <v>35</v>
      </c>
      <c r="C31" s="3" t="s">
        <v>285</v>
      </c>
      <c r="D31" s="3" t="s">
        <v>286</v>
      </c>
      <c r="E31" s="3" t="s">
        <v>13</v>
      </c>
      <c r="F31" s="3" t="s">
        <v>31</v>
      </c>
      <c r="G31" s="24">
        <v>95586</v>
      </c>
      <c r="H31" s="3" t="str">
        <f>IF(Sheet1[[#This Row],[Salary]]&lt;40000,"Low Salary",IF(Sheet1[[#This Row],[Salary]]&lt;=70000,"Good Salary","High Salary"))</f>
        <v>High Salary</v>
      </c>
      <c r="I31" s="13">
        <v>42232</v>
      </c>
      <c r="J31" s="32" t="s">
        <v>328</v>
      </c>
      <c r="K31" s="18">
        <f ca="1">DATEDIF(Sheet1[[#This Row],[Date of Joining]],TODAY(),"d")</f>
        <v>3928</v>
      </c>
      <c r="L31" s="3">
        <v>3</v>
      </c>
      <c r="M31" s="3" t="s">
        <v>15</v>
      </c>
      <c r="N31" s="4" t="s">
        <v>88</v>
      </c>
      <c r="S31" t="s">
        <v>306</v>
      </c>
      <c r="T31" s="1">
        <f ca="1">NOW()</f>
        <v>46160.563519560186</v>
      </c>
    </row>
    <row r="32" spans="1:27" x14ac:dyDescent="0.25">
      <c r="A32" s="2" t="s">
        <v>89</v>
      </c>
      <c r="B32" s="3" t="s">
        <v>37</v>
      </c>
      <c r="C32" s="3" t="s">
        <v>287</v>
      </c>
      <c r="D32" s="3" t="s">
        <v>288</v>
      </c>
      <c r="E32" s="3" t="s">
        <v>38</v>
      </c>
      <c r="F32" s="3" t="s">
        <v>23</v>
      </c>
      <c r="G32" s="24">
        <v>95367</v>
      </c>
      <c r="H32" s="3" t="str">
        <f>IF(Sheet1[[#This Row],[Salary]]&lt;40000,"Low Salary",IF(Sheet1[[#This Row],[Salary]]&lt;=70000,"Good Salary","High Salary"))</f>
        <v>High Salary</v>
      </c>
      <c r="I32" s="13">
        <v>42239</v>
      </c>
      <c r="J32" s="32" t="s">
        <v>328</v>
      </c>
      <c r="K32" s="18">
        <f ca="1">DATEDIF(Sheet1[[#This Row],[Date of Joining]],TODAY(),"d")</f>
        <v>3921</v>
      </c>
      <c r="L32" s="3">
        <v>3</v>
      </c>
      <c r="M32" s="3" t="s">
        <v>24</v>
      </c>
      <c r="N32" s="4" t="s">
        <v>90</v>
      </c>
      <c r="R32" t="s">
        <v>308</v>
      </c>
      <c r="S32" s="14">
        <v>42015</v>
      </c>
      <c r="T32">
        <f>YEAR(I2)</f>
        <v>2015</v>
      </c>
    </row>
    <row r="33" spans="1:20" x14ac:dyDescent="0.25">
      <c r="A33" s="2" t="s">
        <v>91</v>
      </c>
      <c r="B33" s="3" t="s">
        <v>21</v>
      </c>
      <c r="C33" s="3" t="s">
        <v>281</v>
      </c>
      <c r="D33" s="3" t="s">
        <v>282</v>
      </c>
      <c r="E33" s="3" t="s">
        <v>22</v>
      </c>
      <c r="F33" s="3" t="s">
        <v>59</v>
      </c>
      <c r="G33" s="24">
        <v>79549</v>
      </c>
      <c r="H33" s="3" t="str">
        <f>IF(Sheet1[[#This Row],[Salary]]&lt;40000,"Low Salary",IF(Sheet1[[#This Row],[Salary]]&lt;=70000,"Good Salary","High Salary"))</f>
        <v>High Salary</v>
      </c>
      <c r="I33" s="13">
        <v>42246</v>
      </c>
      <c r="J33" s="32" t="s">
        <v>328</v>
      </c>
      <c r="K33" s="18">
        <f ca="1">DATEDIF(Sheet1[[#This Row],[Date of Joining]],TODAY(),"d")</f>
        <v>3914</v>
      </c>
      <c r="L33" s="3">
        <v>3</v>
      </c>
      <c r="M33" s="3" t="s">
        <v>276</v>
      </c>
      <c r="N33" s="4" t="s">
        <v>92</v>
      </c>
      <c r="R33" t="s">
        <v>307</v>
      </c>
      <c r="S33" s="14">
        <v>42015</v>
      </c>
      <c r="T33">
        <f>MONTH(S33)</f>
        <v>1</v>
      </c>
    </row>
    <row r="34" spans="1:20" x14ac:dyDescent="0.25">
      <c r="A34" s="2" t="s">
        <v>93</v>
      </c>
      <c r="B34" s="3" t="s">
        <v>18</v>
      </c>
      <c r="C34" s="3" t="s">
        <v>279</v>
      </c>
      <c r="D34" s="3" t="s">
        <v>280</v>
      </c>
      <c r="E34" s="3" t="s">
        <v>38</v>
      </c>
      <c r="F34" s="3" t="s">
        <v>43</v>
      </c>
      <c r="G34" s="24">
        <v>54463</v>
      </c>
      <c r="H34" s="3" t="str">
        <f>IF(Sheet1[[#This Row],[Salary]]&lt;40000,"Low Salary",IF(Sheet1[[#This Row],[Salary]]&lt;=70000,"Good Salary","High Salary"))</f>
        <v>Good Salary</v>
      </c>
      <c r="I34" s="13">
        <v>42253</v>
      </c>
      <c r="J34" s="32" t="s">
        <v>329</v>
      </c>
      <c r="K34" s="18">
        <f ca="1">DATEDIF(Sheet1[[#This Row],[Date of Joining]],TODAY(),"d")</f>
        <v>3907</v>
      </c>
      <c r="L34" s="3">
        <v>4</v>
      </c>
      <c r="M34" s="3" t="s">
        <v>24</v>
      </c>
      <c r="N34" s="4" t="s">
        <v>10</v>
      </c>
      <c r="R34" t="s">
        <v>309</v>
      </c>
      <c r="S34" s="14">
        <v>42015</v>
      </c>
      <c r="T34">
        <f>WEEKDAY(S34)</f>
        <v>1</v>
      </c>
    </row>
    <row r="35" spans="1:20" x14ac:dyDescent="0.25">
      <c r="A35" s="2" t="s">
        <v>94</v>
      </c>
      <c r="B35" s="3" t="s">
        <v>18</v>
      </c>
      <c r="C35" s="3" t="s">
        <v>279</v>
      </c>
      <c r="D35" s="3" t="s">
        <v>280</v>
      </c>
      <c r="E35" s="3" t="s">
        <v>30</v>
      </c>
      <c r="F35" s="3" t="s">
        <v>23</v>
      </c>
      <c r="G35" s="24">
        <v>89781</v>
      </c>
      <c r="H35" s="3" t="str">
        <f>IF(Sheet1[[#This Row],[Salary]]&lt;40000,"Low Salary",IF(Sheet1[[#This Row],[Salary]]&lt;=70000,"Good Salary","High Salary"))</f>
        <v>High Salary</v>
      </c>
      <c r="I35" s="13">
        <v>42260</v>
      </c>
      <c r="J35" s="32" t="s">
        <v>329</v>
      </c>
      <c r="K35" s="18">
        <f ca="1">DATEDIF(Sheet1[[#This Row],[Date of Joining]],TODAY(),"d")</f>
        <v>3900</v>
      </c>
      <c r="L35" s="3">
        <v>3</v>
      </c>
      <c r="M35" s="3" t="s">
        <v>32</v>
      </c>
      <c r="N35" s="4" t="s">
        <v>95</v>
      </c>
    </row>
    <row r="36" spans="1:20" x14ac:dyDescent="0.25">
      <c r="A36" s="2" t="s">
        <v>96</v>
      </c>
      <c r="B36" s="3" t="s">
        <v>18</v>
      </c>
      <c r="C36" s="3" t="s">
        <v>279</v>
      </c>
      <c r="D36" s="3" t="s">
        <v>280</v>
      </c>
      <c r="E36" s="3" t="s">
        <v>13</v>
      </c>
      <c r="F36" s="3" t="s">
        <v>31</v>
      </c>
      <c r="G36" s="24">
        <v>64796</v>
      </c>
      <c r="H36" s="3" t="str">
        <f>IF(Sheet1[[#This Row],[Salary]]&lt;40000,"Low Salary",IF(Sheet1[[#This Row],[Salary]]&lt;=70000,"Good Salary","High Salary"))</f>
        <v>Good Salary</v>
      </c>
      <c r="I36" s="13">
        <v>42267</v>
      </c>
      <c r="J36" s="32" t="s">
        <v>329</v>
      </c>
      <c r="K36" s="18">
        <f ca="1">DATEDIF(Sheet1[[#This Row],[Date of Joining]],TODAY(),"d")</f>
        <v>3893</v>
      </c>
      <c r="L36" s="3">
        <v>3</v>
      </c>
      <c r="M36" s="3" t="s">
        <v>15</v>
      </c>
      <c r="N36" s="4" t="s">
        <v>97</v>
      </c>
    </row>
    <row r="37" spans="1:20" x14ac:dyDescent="0.25">
      <c r="A37" s="2" t="s">
        <v>98</v>
      </c>
      <c r="B37" s="3" t="s">
        <v>21</v>
      </c>
      <c r="C37" s="3" t="s">
        <v>281</v>
      </c>
      <c r="D37" s="3" t="s">
        <v>282</v>
      </c>
      <c r="E37" s="3" t="s">
        <v>38</v>
      </c>
      <c r="F37" s="3" t="s">
        <v>43</v>
      </c>
      <c r="G37" s="24">
        <v>52093</v>
      </c>
      <c r="H37" s="3" t="str">
        <f>IF(Sheet1[[#This Row],[Salary]]&lt;40000,"Low Salary",IF(Sheet1[[#This Row],[Salary]]&lt;=70000,"Good Salary","High Salary"))</f>
        <v>Good Salary</v>
      </c>
      <c r="I37" s="13">
        <v>42274</v>
      </c>
      <c r="J37" s="32" t="s">
        <v>329</v>
      </c>
      <c r="K37" s="18">
        <f ca="1">DATEDIF(Sheet1[[#This Row],[Date of Joining]],TODAY(),"d")</f>
        <v>3886</v>
      </c>
      <c r="L37" s="3">
        <v>5</v>
      </c>
      <c r="M37" s="3" t="s">
        <v>276</v>
      </c>
      <c r="N37" s="4" t="s">
        <v>99</v>
      </c>
    </row>
    <row r="38" spans="1:20" x14ac:dyDescent="0.25">
      <c r="A38" s="2" t="s">
        <v>100</v>
      </c>
      <c r="B38" s="3" t="s">
        <v>37</v>
      </c>
      <c r="C38" s="3" t="s">
        <v>287</v>
      </c>
      <c r="D38" s="3" t="s">
        <v>288</v>
      </c>
      <c r="E38" s="3" t="s">
        <v>13</v>
      </c>
      <c r="F38" s="3" t="s">
        <v>43</v>
      </c>
      <c r="G38" s="24">
        <v>48224</v>
      </c>
      <c r="H38" s="3" t="str">
        <f>IF(Sheet1[[#This Row],[Salary]]&lt;40000,"Low Salary",IF(Sheet1[[#This Row],[Salary]]&lt;=70000,"Good Salary","High Salary"))</f>
        <v>Good Salary</v>
      </c>
      <c r="I38" s="13">
        <v>42281</v>
      </c>
      <c r="J38" s="32" t="s">
        <v>330</v>
      </c>
      <c r="K38" s="18">
        <f ca="1">DATEDIF(Sheet1[[#This Row],[Date of Joining]],TODAY(),"d")</f>
        <v>3879</v>
      </c>
      <c r="L38" s="3">
        <v>3</v>
      </c>
      <c r="M38" s="3" t="s">
        <v>276</v>
      </c>
      <c r="N38" s="4" t="s">
        <v>101</v>
      </c>
    </row>
    <row r="39" spans="1:20" x14ac:dyDescent="0.25">
      <c r="A39" s="2" t="s">
        <v>102</v>
      </c>
      <c r="B39" s="3" t="s">
        <v>50</v>
      </c>
      <c r="C39" s="3" t="s">
        <v>289</v>
      </c>
      <c r="D39" s="3" t="s">
        <v>290</v>
      </c>
      <c r="E39" s="3" t="s">
        <v>9</v>
      </c>
      <c r="F39" s="3" t="s">
        <v>43</v>
      </c>
      <c r="G39" s="25">
        <v>65882</v>
      </c>
      <c r="H39" s="3" t="str">
        <f>IF(Sheet1[[#This Row],[Salary]]&lt;40000,"Low Salary",IF(Sheet1[[#This Row],[Salary]]&lt;=70000,"Good Salary","High Salary"))</f>
        <v>Good Salary</v>
      </c>
      <c r="I39" s="13">
        <v>42288</v>
      </c>
      <c r="J39" s="32" t="s">
        <v>330</v>
      </c>
      <c r="K39" s="18">
        <f ca="1">DATEDIF(Sheet1[[#This Row],[Date of Joining]],TODAY(),"d")</f>
        <v>3872</v>
      </c>
      <c r="L39" s="3">
        <v>4</v>
      </c>
      <c r="M39" s="3" t="s">
        <v>32</v>
      </c>
      <c r="N39" s="4" t="s">
        <v>103</v>
      </c>
    </row>
    <row r="40" spans="1:20" x14ac:dyDescent="0.25">
      <c r="A40" s="2" t="s">
        <v>104</v>
      </c>
      <c r="B40" s="3" t="s">
        <v>18</v>
      </c>
      <c r="C40" s="3" t="s">
        <v>279</v>
      </c>
      <c r="D40" s="3" t="s">
        <v>280</v>
      </c>
      <c r="E40" s="3" t="s">
        <v>30</v>
      </c>
      <c r="F40" s="3" t="s">
        <v>14</v>
      </c>
      <c r="G40" s="24">
        <v>33956</v>
      </c>
      <c r="H40" s="3" t="str">
        <f>IF(Sheet1[[#This Row],[Salary]]&lt;40000,"Low Salary",IF(Sheet1[[#This Row],[Salary]]&lt;=70000,"Good Salary","High Salary"))</f>
        <v>Low Salary</v>
      </c>
      <c r="I40" s="13">
        <v>42295</v>
      </c>
      <c r="J40" s="32" t="s">
        <v>330</v>
      </c>
      <c r="K40" s="18">
        <f ca="1">DATEDIF(Sheet1[[#This Row],[Date of Joining]],TODAY(),"d")</f>
        <v>3865</v>
      </c>
      <c r="L40" s="3">
        <v>3</v>
      </c>
      <c r="M40" s="3" t="s">
        <v>276</v>
      </c>
      <c r="N40" s="4" t="s">
        <v>105</v>
      </c>
    </row>
    <row r="41" spans="1:20" x14ac:dyDescent="0.25">
      <c r="A41" s="2" t="s">
        <v>106</v>
      </c>
      <c r="B41" s="3" t="s">
        <v>50</v>
      </c>
      <c r="C41" s="3" t="s">
        <v>289</v>
      </c>
      <c r="D41" s="3" t="s">
        <v>290</v>
      </c>
      <c r="E41" s="3" t="s">
        <v>38</v>
      </c>
      <c r="F41" s="3" t="s">
        <v>59</v>
      </c>
      <c r="G41" s="24">
        <v>64913</v>
      </c>
      <c r="H41" s="3" t="str">
        <f>IF(Sheet1[[#This Row],[Salary]]&lt;40000,"Low Salary",IF(Sheet1[[#This Row],[Salary]]&lt;=70000,"Good Salary","High Salary"))</f>
        <v>Good Salary</v>
      </c>
      <c r="I41" s="13">
        <v>42302</v>
      </c>
      <c r="J41" s="32" t="s">
        <v>330</v>
      </c>
      <c r="K41" s="18">
        <f ca="1">DATEDIF(Sheet1[[#This Row],[Date of Joining]],TODAY(),"d")</f>
        <v>3858</v>
      </c>
      <c r="L41" s="3">
        <v>1</v>
      </c>
      <c r="M41" s="3" t="s">
        <v>32</v>
      </c>
      <c r="N41" s="4" t="s">
        <v>107</v>
      </c>
    </row>
    <row r="42" spans="1:20" x14ac:dyDescent="0.25">
      <c r="A42" s="2" t="s">
        <v>108</v>
      </c>
      <c r="B42" s="3" t="s">
        <v>18</v>
      </c>
      <c r="C42" s="3" t="s">
        <v>279</v>
      </c>
      <c r="D42" s="3" t="s">
        <v>280</v>
      </c>
      <c r="E42" s="3" t="s">
        <v>38</v>
      </c>
      <c r="F42" s="3" t="s">
        <v>59</v>
      </c>
      <c r="G42" s="24">
        <v>35326</v>
      </c>
      <c r="H42" s="3" t="str">
        <f>IF(Sheet1[[#This Row],[Salary]]&lt;40000,"Low Salary",IF(Sheet1[[#This Row],[Salary]]&lt;=70000,"Good Salary","High Salary"))</f>
        <v>Low Salary</v>
      </c>
      <c r="I42" s="13">
        <v>42309</v>
      </c>
      <c r="J42" s="32" t="s">
        <v>331</v>
      </c>
      <c r="K42" s="18">
        <f ca="1">DATEDIF(Sheet1[[#This Row],[Date of Joining]],TODAY(),"d")</f>
        <v>3851</v>
      </c>
      <c r="L42" s="3">
        <v>3</v>
      </c>
      <c r="M42" s="3" t="s">
        <v>32</v>
      </c>
      <c r="N42" s="4" t="s">
        <v>109</v>
      </c>
    </row>
    <row r="43" spans="1:20" x14ac:dyDescent="0.25">
      <c r="A43" s="2" t="s">
        <v>110</v>
      </c>
      <c r="B43" s="3" t="s">
        <v>37</v>
      </c>
      <c r="C43" s="3" t="s">
        <v>287</v>
      </c>
      <c r="D43" s="3" t="s">
        <v>288</v>
      </c>
      <c r="E43" s="3" t="s">
        <v>9</v>
      </c>
      <c r="F43" s="3" t="s">
        <v>31</v>
      </c>
      <c r="G43" s="24">
        <v>81610</v>
      </c>
      <c r="H43" s="3" t="str">
        <f>IF(Sheet1[[#This Row],[Salary]]&lt;40000,"Low Salary",IF(Sheet1[[#This Row],[Salary]]&lt;=70000,"Good Salary","High Salary"))</f>
        <v>High Salary</v>
      </c>
      <c r="I43" s="13">
        <v>42316</v>
      </c>
      <c r="J43" s="32" t="s">
        <v>331</v>
      </c>
      <c r="K43" s="18">
        <f ca="1">DATEDIF(Sheet1[[#This Row],[Date of Joining]],TODAY(),"d")</f>
        <v>3844</v>
      </c>
      <c r="L43" s="3">
        <v>1</v>
      </c>
      <c r="M43" s="3" t="s">
        <v>276</v>
      </c>
      <c r="N43" s="4" t="s">
        <v>111</v>
      </c>
    </row>
    <row r="44" spans="1:20" x14ac:dyDescent="0.25">
      <c r="A44" s="2" t="s">
        <v>112</v>
      </c>
      <c r="B44" s="3" t="s">
        <v>37</v>
      </c>
      <c r="C44" s="3" t="s">
        <v>287</v>
      </c>
      <c r="D44" s="3" t="s">
        <v>288</v>
      </c>
      <c r="E44" s="3" t="s">
        <v>30</v>
      </c>
      <c r="F44" s="3" t="s">
        <v>14</v>
      </c>
      <c r="G44" s="24">
        <v>92701</v>
      </c>
      <c r="H44" s="3" t="str">
        <f>IF(Sheet1[[#This Row],[Salary]]&lt;40000,"Low Salary",IF(Sheet1[[#This Row],[Salary]]&lt;=70000,"Good Salary","High Salary"))</f>
        <v>High Salary</v>
      </c>
      <c r="I44" s="13">
        <v>42330</v>
      </c>
      <c r="J44" s="32" t="s">
        <v>331</v>
      </c>
      <c r="K44" s="18">
        <f ca="1">DATEDIF(Sheet1[[#This Row],[Date of Joining]],TODAY(),"d")</f>
        <v>3830</v>
      </c>
      <c r="L44" s="3">
        <v>3</v>
      </c>
      <c r="M44" s="3" t="s">
        <v>15</v>
      </c>
      <c r="N44" s="4" t="s">
        <v>113</v>
      </c>
    </row>
    <row r="45" spans="1:20" x14ac:dyDescent="0.25">
      <c r="A45" s="2" t="s">
        <v>114</v>
      </c>
      <c r="B45" s="3" t="s">
        <v>37</v>
      </c>
      <c r="C45" s="3" t="s">
        <v>287</v>
      </c>
      <c r="D45" s="3" t="s">
        <v>288</v>
      </c>
      <c r="E45" s="3" t="s">
        <v>13</v>
      </c>
      <c r="F45" s="3" t="s">
        <v>31</v>
      </c>
      <c r="G45" s="24">
        <v>58245</v>
      </c>
      <c r="H45" s="3" t="str">
        <f>IF(Sheet1[[#This Row],[Salary]]&lt;40000,"Low Salary",IF(Sheet1[[#This Row],[Salary]]&lt;=70000,"Good Salary","High Salary"))</f>
        <v>Good Salary</v>
      </c>
      <c r="I45" s="13">
        <v>42337</v>
      </c>
      <c r="J45" s="32" t="s">
        <v>331</v>
      </c>
      <c r="K45" s="18">
        <f ca="1">DATEDIF(Sheet1[[#This Row],[Date of Joining]],TODAY(),"d")</f>
        <v>3823</v>
      </c>
      <c r="L45" s="3">
        <v>4</v>
      </c>
      <c r="M45" s="3" t="s">
        <v>276</v>
      </c>
      <c r="N45" s="4" t="s">
        <v>115</v>
      </c>
    </row>
    <row r="46" spans="1:20" x14ac:dyDescent="0.25">
      <c r="A46" s="2" t="s">
        <v>116</v>
      </c>
      <c r="B46" s="3" t="s">
        <v>21</v>
      </c>
      <c r="C46" s="3" t="s">
        <v>281</v>
      </c>
      <c r="D46" s="3" t="s">
        <v>282</v>
      </c>
      <c r="E46" s="3" t="s">
        <v>9</v>
      </c>
      <c r="F46" s="3" t="s">
        <v>31</v>
      </c>
      <c r="G46" s="24">
        <v>66513</v>
      </c>
      <c r="H46" s="3" t="str">
        <f>IF(Sheet1[[#This Row],[Salary]]&lt;40000,"Low Salary",IF(Sheet1[[#This Row],[Salary]]&lt;=70000,"Good Salary","High Salary"))</f>
        <v>Good Salary</v>
      </c>
      <c r="I46" s="13">
        <v>42344</v>
      </c>
      <c r="J46" s="32" t="s">
        <v>332</v>
      </c>
      <c r="K46" s="18">
        <f ca="1">DATEDIF(Sheet1[[#This Row],[Date of Joining]],TODAY(),"d")</f>
        <v>3816</v>
      </c>
      <c r="L46" s="3">
        <v>2</v>
      </c>
      <c r="M46" s="3" t="s">
        <v>15</v>
      </c>
      <c r="N46" s="4" t="s">
        <v>33</v>
      </c>
    </row>
    <row r="47" spans="1:20" x14ac:dyDescent="0.25">
      <c r="A47" s="2" t="s">
        <v>117</v>
      </c>
      <c r="B47" s="3" t="s">
        <v>12</v>
      </c>
      <c r="C47" s="3" t="s">
        <v>277</v>
      </c>
      <c r="D47" s="3" t="s">
        <v>278</v>
      </c>
      <c r="E47" s="3" t="s">
        <v>13</v>
      </c>
      <c r="F47" s="3" t="s">
        <v>14</v>
      </c>
      <c r="G47" s="24">
        <v>78720</v>
      </c>
      <c r="H47" s="3" t="str">
        <f>IF(Sheet1[[#This Row],[Salary]]&lt;40000,"Low Salary",IF(Sheet1[[#This Row],[Salary]]&lt;=70000,"Good Salary","High Salary"))</f>
        <v>High Salary</v>
      </c>
      <c r="I47" s="13">
        <v>42351</v>
      </c>
      <c r="J47" s="32" t="s">
        <v>332</v>
      </c>
      <c r="K47" s="18">
        <f ca="1">DATEDIF(Sheet1[[#This Row],[Date of Joining]],TODAY(),"d")</f>
        <v>3809</v>
      </c>
      <c r="L47" s="3">
        <v>5</v>
      </c>
      <c r="M47" s="3" t="s">
        <v>32</v>
      </c>
      <c r="N47" s="4" t="s">
        <v>103</v>
      </c>
    </row>
    <row r="48" spans="1:20" x14ac:dyDescent="0.25">
      <c r="A48" s="2" t="s">
        <v>118</v>
      </c>
      <c r="B48" s="3" t="s">
        <v>37</v>
      </c>
      <c r="C48" s="3" t="s">
        <v>287</v>
      </c>
      <c r="D48" s="3" t="s">
        <v>288</v>
      </c>
      <c r="E48" s="3" t="s">
        <v>38</v>
      </c>
      <c r="F48" s="3" t="s">
        <v>31</v>
      </c>
      <c r="G48" s="24">
        <v>30686</v>
      </c>
      <c r="H48" s="3" t="str">
        <f>IF(Sheet1[[#This Row],[Salary]]&lt;40000,"Low Salary",IF(Sheet1[[#This Row],[Salary]]&lt;=70000,"Good Salary","High Salary"))</f>
        <v>Low Salary</v>
      </c>
      <c r="I48" s="13">
        <v>42358</v>
      </c>
      <c r="J48" s="32" t="s">
        <v>332</v>
      </c>
      <c r="K48" s="18">
        <f ca="1">DATEDIF(Sheet1[[#This Row],[Date of Joining]],TODAY(),"d")</f>
        <v>3802</v>
      </c>
      <c r="L48" s="3">
        <v>2</v>
      </c>
      <c r="M48" s="3" t="s">
        <v>32</v>
      </c>
      <c r="N48" s="4" t="s">
        <v>119</v>
      </c>
    </row>
    <row r="49" spans="1:14" x14ac:dyDescent="0.25">
      <c r="A49" s="2" t="s">
        <v>120</v>
      </c>
      <c r="B49" s="3" t="s">
        <v>35</v>
      </c>
      <c r="C49" s="3" t="s">
        <v>285</v>
      </c>
      <c r="D49" s="3" t="s">
        <v>286</v>
      </c>
      <c r="E49" s="3" t="s">
        <v>22</v>
      </c>
      <c r="F49" s="3" t="s">
        <v>31</v>
      </c>
      <c r="G49" s="24">
        <v>39423</v>
      </c>
      <c r="H49" s="3" t="str">
        <f>IF(Sheet1[[#This Row],[Salary]]&lt;40000,"Low Salary",IF(Sheet1[[#This Row],[Salary]]&lt;=70000,"Good Salary","High Salary"))</f>
        <v>Low Salary</v>
      </c>
      <c r="I49" s="13">
        <v>42365</v>
      </c>
      <c r="J49" s="32" t="s">
        <v>332</v>
      </c>
      <c r="K49" s="18">
        <f ca="1">DATEDIF(Sheet1[[#This Row],[Date of Joining]],TODAY(),"d")</f>
        <v>3795</v>
      </c>
      <c r="L49" s="3">
        <v>5</v>
      </c>
      <c r="M49" s="3" t="s">
        <v>276</v>
      </c>
      <c r="N49" s="4" t="s">
        <v>121</v>
      </c>
    </row>
    <row r="50" spans="1:14" x14ac:dyDescent="0.25">
      <c r="A50" s="2" t="s">
        <v>122</v>
      </c>
      <c r="B50" s="3" t="s">
        <v>12</v>
      </c>
      <c r="C50" s="3" t="s">
        <v>277</v>
      </c>
      <c r="D50" s="3" t="s">
        <v>278</v>
      </c>
      <c r="E50" s="3" t="s">
        <v>38</v>
      </c>
      <c r="F50" s="3" t="s">
        <v>31</v>
      </c>
      <c r="G50" s="24">
        <v>30280</v>
      </c>
      <c r="H50" s="3" t="str">
        <f>IF(Sheet1[[#This Row],[Salary]]&lt;40000,"Low Salary",IF(Sheet1[[#This Row],[Salary]]&lt;=70000,"Good Salary","High Salary"))</f>
        <v>Low Salary</v>
      </c>
      <c r="I50" s="13">
        <v>42372</v>
      </c>
      <c r="J50" s="32" t="s">
        <v>335</v>
      </c>
      <c r="K50" s="18">
        <f ca="1">DATEDIF(Sheet1[[#This Row],[Date of Joining]],TODAY(),"d")</f>
        <v>3788</v>
      </c>
      <c r="L50" s="3">
        <v>1</v>
      </c>
      <c r="M50" s="3" t="s">
        <v>276</v>
      </c>
      <c r="N50" s="4" t="s">
        <v>123</v>
      </c>
    </row>
    <row r="51" spans="1:14" x14ac:dyDescent="0.25">
      <c r="A51" s="2" t="s">
        <v>124</v>
      </c>
      <c r="B51" s="3" t="s">
        <v>12</v>
      </c>
      <c r="C51" s="3" t="s">
        <v>277</v>
      </c>
      <c r="D51" s="3" t="s">
        <v>278</v>
      </c>
      <c r="E51" s="3" t="s">
        <v>9</v>
      </c>
      <c r="F51" s="3" t="s">
        <v>43</v>
      </c>
      <c r="G51" s="24">
        <v>33352</v>
      </c>
      <c r="H51" s="3" t="str">
        <f>IF(Sheet1[[#This Row],[Salary]]&lt;40000,"Low Salary",IF(Sheet1[[#This Row],[Salary]]&lt;=70000,"Good Salary","High Salary"))</f>
        <v>Low Salary</v>
      </c>
      <c r="I51" s="13">
        <v>42379</v>
      </c>
      <c r="J51" s="32" t="s">
        <v>335</v>
      </c>
      <c r="K51" s="18">
        <f ca="1">DATEDIF(Sheet1[[#This Row],[Date of Joining]],TODAY(),"d")</f>
        <v>3781</v>
      </c>
      <c r="L51" s="3">
        <v>3</v>
      </c>
      <c r="M51" s="3" t="s">
        <v>32</v>
      </c>
      <c r="N51" s="4" t="s">
        <v>66</v>
      </c>
    </row>
    <row r="52" spans="1:14" x14ac:dyDescent="0.25">
      <c r="A52" s="2" t="s">
        <v>125</v>
      </c>
      <c r="B52" s="3" t="s">
        <v>50</v>
      </c>
      <c r="C52" s="3" t="s">
        <v>289</v>
      </c>
      <c r="D52" s="3" t="s">
        <v>290</v>
      </c>
      <c r="E52" s="3" t="s">
        <v>38</v>
      </c>
      <c r="F52" s="3" t="s">
        <v>43</v>
      </c>
      <c r="G52" s="24">
        <v>75633</v>
      </c>
      <c r="H52" s="3" t="str">
        <f>IF(Sheet1[[#This Row],[Salary]]&lt;40000,"Low Salary",IF(Sheet1[[#This Row],[Salary]]&lt;=70000,"Good Salary","High Salary"))</f>
        <v>High Salary</v>
      </c>
      <c r="I52" s="13">
        <v>42386</v>
      </c>
      <c r="J52" s="32" t="s">
        <v>335</v>
      </c>
      <c r="K52" s="18">
        <f ca="1">DATEDIF(Sheet1[[#This Row],[Date of Joining]],TODAY(),"d")</f>
        <v>3774</v>
      </c>
      <c r="L52" s="3">
        <v>5</v>
      </c>
      <c r="M52" s="3" t="s">
        <v>15</v>
      </c>
      <c r="N52" s="4" t="s">
        <v>126</v>
      </c>
    </row>
    <row r="53" spans="1:14" x14ac:dyDescent="0.25">
      <c r="A53" s="2" t="s">
        <v>127</v>
      </c>
      <c r="B53" s="3" t="s">
        <v>37</v>
      </c>
      <c r="C53" s="3" t="s">
        <v>287</v>
      </c>
      <c r="D53" s="3" t="s">
        <v>288</v>
      </c>
      <c r="E53" s="3" t="s">
        <v>38</v>
      </c>
      <c r="F53" s="3" t="s">
        <v>23</v>
      </c>
      <c r="G53" s="24">
        <v>74815</v>
      </c>
      <c r="H53" s="3" t="str">
        <f>IF(Sheet1[[#This Row],[Salary]]&lt;40000,"Low Salary",IF(Sheet1[[#This Row],[Salary]]&lt;=70000,"Good Salary","High Salary"))</f>
        <v>High Salary</v>
      </c>
      <c r="I53" s="13">
        <v>42393</v>
      </c>
      <c r="J53" s="32" t="s">
        <v>335</v>
      </c>
      <c r="K53" s="18">
        <f ca="1">DATEDIF(Sheet1[[#This Row],[Date of Joining]],TODAY(),"d")</f>
        <v>3767</v>
      </c>
      <c r="L53" s="3">
        <v>5</v>
      </c>
      <c r="M53" s="3" t="s">
        <v>32</v>
      </c>
      <c r="N53" s="4" t="s">
        <v>128</v>
      </c>
    </row>
    <row r="54" spans="1:14" x14ac:dyDescent="0.25">
      <c r="A54" s="2" t="s">
        <v>129</v>
      </c>
      <c r="B54" s="3" t="s">
        <v>21</v>
      </c>
      <c r="C54" s="3" t="s">
        <v>281</v>
      </c>
      <c r="D54" s="3" t="s">
        <v>282</v>
      </c>
      <c r="E54" s="3" t="s">
        <v>22</v>
      </c>
      <c r="F54" s="3" t="s">
        <v>59</v>
      </c>
      <c r="G54" s="24">
        <v>60011</v>
      </c>
      <c r="H54" s="3" t="str">
        <f>IF(Sheet1[[#This Row],[Salary]]&lt;40000,"Low Salary",IF(Sheet1[[#This Row],[Salary]]&lt;=70000,"Good Salary","High Salary"))</f>
        <v>Good Salary</v>
      </c>
      <c r="I54" s="13">
        <v>42400</v>
      </c>
      <c r="J54" s="32" t="s">
        <v>335</v>
      </c>
      <c r="K54" s="18">
        <f ca="1">DATEDIF(Sheet1[[#This Row],[Date of Joining]],TODAY(),"d")</f>
        <v>3760</v>
      </c>
      <c r="L54" s="3">
        <v>1</v>
      </c>
      <c r="M54" s="3" t="s">
        <v>24</v>
      </c>
      <c r="N54" s="4" t="s">
        <v>130</v>
      </c>
    </row>
    <row r="55" spans="1:14" x14ac:dyDescent="0.25">
      <c r="A55" s="2" t="s">
        <v>131</v>
      </c>
      <c r="B55" s="3" t="s">
        <v>12</v>
      </c>
      <c r="C55" s="3" t="s">
        <v>277</v>
      </c>
      <c r="D55" s="3" t="s">
        <v>278</v>
      </c>
      <c r="E55" s="3" t="s">
        <v>38</v>
      </c>
      <c r="F55" s="3" t="s">
        <v>31</v>
      </c>
      <c r="G55" s="24">
        <v>96949</v>
      </c>
      <c r="H55" s="3" t="str">
        <f>IF(Sheet1[[#This Row],[Salary]]&lt;40000,"Low Salary",IF(Sheet1[[#This Row],[Salary]]&lt;=70000,"Good Salary","High Salary"))</f>
        <v>High Salary</v>
      </c>
      <c r="I55" s="13">
        <v>42407</v>
      </c>
      <c r="J55" s="32" t="s">
        <v>334</v>
      </c>
      <c r="K55" s="18">
        <f ca="1">DATEDIF(Sheet1[[#This Row],[Date of Joining]],TODAY(),"d")</f>
        <v>3753</v>
      </c>
      <c r="L55" s="3">
        <v>3</v>
      </c>
      <c r="M55" s="3" t="s">
        <v>276</v>
      </c>
      <c r="N55" s="4" t="s">
        <v>80</v>
      </c>
    </row>
    <row r="56" spans="1:14" x14ac:dyDescent="0.25">
      <c r="A56" s="2" t="s">
        <v>132</v>
      </c>
      <c r="B56" s="3" t="s">
        <v>35</v>
      </c>
      <c r="C56" s="3" t="s">
        <v>285</v>
      </c>
      <c r="D56" s="3" t="s">
        <v>286</v>
      </c>
      <c r="E56" s="3" t="s">
        <v>38</v>
      </c>
      <c r="F56" s="3" t="s">
        <v>31</v>
      </c>
      <c r="G56" s="24">
        <v>84924</v>
      </c>
      <c r="H56" s="3" t="str">
        <f>IF(Sheet1[[#This Row],[Salary]]&lt;40000,"Low Salary",IF(Sheet1[[#This Row],[Salary]]&lt;=70000,"Good Salary","High Salary"))</f>
        <v>High Salary</v>
      </c>
      <c r="I56" s="13">
        <v>42414</v>
      </c>
      <c r="J56" s="32" t="s">
        <v>334</v>
      </c>
      <c r="K56" s="18">
        <f ca="1">DATEDIF(Sheet1[[#This Row],[Date of Joining]],TODAY(),"d")</f>
        <v>3746</v>
      </c>
      <c r="L56" s="3">
        <v>5</v>
      </c>
      <c r="M56" s="3" t="s">
        <v>24</v>
      </c>
      <c r="N56" s="4" t="s">
        <v>133</v>
      </c>
    </row>
    <row r="57" spans="1:14" x14ac:dyDescent="0.25">
      <c r="A57" s="2" t="s">
        <v>134</v>
      </c>
      <c r="B57" s="3" t="s">
        <v>35</v>
      </c>
      <c r="C57" s="3" t="s">
        <v>285</v>
      </c>
      <c r="D57" s="3" t="s">
        <v>286</v>
      </c>
      <c r="E57" s="3" t="s">
        <v>9</v>
      </c>
      <c r="F57" s="3" t="s">
        <v>23</v>
      </c>
      <c r="G57" s="24">
        <v>82033</v>
      </c>
      <c r="H57" s="3" t="str">
        <f>IF(Sheet1[[#This Row],[Salary]]&lt;40000,"Low Salary",IF(Sheet1[[#This Row],[Salary]]&lt;=70000,"Good Salary","High Salary"))</f>
        <v>High Salary</v>
      </c>
      <c r="I57" s="13">
        <v>42421</v>
      </c>
      <c r="J57" s="32" t="s">
        <v>334</v>
      </c>
      <c r="K57" s="18">
        <f ca="1">DATEDIF(Sheet1[[#This Row],[Date of Joining]],TODAY(),"d")</f>
        <v>3739</v>
      </c>
      <c r="L57" s="3">
        <v>1</v>
      </c>
      <c r="M57" s="3" t="s">
        <v>276</v>
      </c>
      <c r="N57" s="4" t="s">
        <v>111</v>
      </c>
    </row>
    <row r="58" spans="1:14" x14ac:dyDescent="0.25">
      <c r="A58" s="2" t="s">
        <v>136</v>
      </c>
      <c r="B58" s="3" t="s">
        <v>12</v>
      </c>
      <c r="C58" s="3" t="s">
        <v>277</v>
      </c>
      <c r="D58" s="3" t="s">
        <v>278</v>
      </c>
      <c r="E58" s="3" t="s">
        <v>38</v>
      </c>
      <c r="F58" s="3" t="s">
        <v>59</v>
      </c>
      <c r="G58" s="24">
        <v>31499</v>
      </c>
      <c r="H58" s="3" t="str">
        <f>IF(Sheet1[[#This Row],[Salary]]&lt;40000,"Low Salary",IF(Sheet1[[#This Row],[Salary]]&lt;=70000,"Good Salary","High Salary"))</f>
        <v>Low Salary</v>
      </c>
      <c r="I58" s="13">
        <v>42435</v>
      </c>
      <c r="J58" s="32" t="s">
        <v>333</v>
      </c>
      <c r="K58" s="18">
        <f ca="1">DATEDIF(Sheet1[[#This Row],[Date of Joining]],TODAY(),"d")</f>
        <v>3725</v>
      </c>
      <c r="L58" s="3">
        <v>2</v>
      </c>
      <c r="M58" s="3" t="s">
        <v>276</v>
      </c>
      <c r="N58" s="4" t="s">
        <v>95</v>
      </c>
    </row>
    <row r="59" spans="1:14" x14ac:dyDescent="0.25">
      <c r="A59" s="2" t="s">
        <v>137</v>
      </c>
      <c r="B59" s="3" t="s">
        <v>37</v>
      </c>
      <c r="C59" s="3" t="s">
        <v>287</v>
      </c>
      <c r="D59" s="3" t="s">
        <v>288</v>
      </c>
      <c r="E59" s="3" t="s">
        <v>30</v>
      </c>
      <c r="F59" s="3" t="s">
        <v>43</v>
      </c>
      <c r="G59" s="24">
        <v>97981</v>
      </c>
      <c r="H59" s="3" t="str">
        <f>IF(Sheet1[[#This Row],[Salary]]&lt;40000,"Low Salary",IF(Sheet1[[#This Row],[Salary]]&lt;=70000,"Good Salary","High Salary"))</f>
        <v>High Salary</v>
      </c>
      <c r="I59" s="13">
        <v>42442</v>
      </c>
      <c r="J59" s="32" t="s">
        <v>333</v>
      </c>
      <c r="K59" s="18">
        <f ca="1">DATEDIF(Sheet1[[#This Row],[Date of Joining]],TODAY(),"d")</f>
        <v>3718</v>
      </c>
      <c r="L59" s="3">
        <v>5</v>
      </c>
      <c r="M59" s="3" t="s">
        <v>32</v>
      </c>
      <c r="N59" s="4" t="s">
        <v>138</v>
      </c>
    </row>
    <row r="60" spans="1:14" x14ac:dyDescent="0.25">
      <c r="A60" s="2" t="s">
        <v>139</v>
      </c>
      <c r="B60" s="3" t="s">
        <v>12</v>
      </c>
      <c r="C60" s="3" t="s">
        <v>277</v>
      </c>
      <c r="D60" s="3" t="s">
        <v>278</v>
      </c>
      <c r="E60" s="3" t="s">
        <v>13</v>
      </c>
      <c r="F60" s="3" t="s">
        <v>23</v>
      </c>
      <c r="G60" s="24">
        <v>36541</v>
      </c>
      <c r="H60" s="3" t="str">
        <f>IF(Sheet1[[#This Row],[Salary]]&lt;40000,"Low Salary",IF(Sheet1[[#This Row],[Salary]]&lt;=70000,"Good Salary","High Salary"))</f>
        <v>Low Salary</v>
      </c>
      <c r="I60" s="13">
        <v>42449</v>
      </c>
      <c r="J60" s="32" t="s">
        <v>333</v>
      </c>
      <c r="K60" s="18">
        <f ca="1">DATEDIF(Sheet1[[#This Row],[Date of Joining]],TODAY(),"d")</f>
        <v>3711</v>
      </c>
      <c r="L60" s="3">
        <v>2</v>
      </c>
      <c r="M60" s="3" t="s">
        <v>15</v>
      </c>
      <c r="N60" s="4" t="s">
        <v>140</v>
      </c>
    </row>
    <row r="61" spans="1:14" x14ac:dyDescent="0.25">
      <c r="A61" s="2" t="s">
        <v>141</v>
      </c>
      <c r="B61" s="3" t="s">
        <v>21</v>
      </c>
      <c r="C61" s="3" t="s">
        <v>281</v>
      </c>
      <c r="D61" s="3" t="s">
        <v>282</v>
      </c>
      <c r="E61" s="3" t="s">
        <v>30</v>
      </c>
      <c r="F61" s="3" t="s">
        <v>31</v>
      </c>
      <c r="G61" s="24">
        <v>84737</v>
      </c>
      <c r="H61" s="3" t="str">
        <f>IF(Sheet1[[#This Row],[Salary]]&lt;40000,"Low Salary",IF(Sheet1[[#This Row],[Salary]]&lt;=70000,"Good Salary","High Salary"))</f>
        <v>High Salary</v>
      </c>
      <c r="I61" s="13">
        <v>42456</v>
      </c>
      <c r="J61" s="32" t="s">
        <v>333</v>
      </c>
      <c r="K61" s="18">
        <f ca="1">DATEDIF(Sheet1[[#This Row],[Date of Joining]],TODAY(),"d")</f>
        <v>3704</v>
      </c>
      <c r="L61" s="3">
        <v>1</v>
      </c>
      <c r="M61" s="3" t="s">
        <v>24</v>
      </c>
      <c r="N61" s="4" t="s">
        <v>142</v>
      </c>
    </row>
    <row r="62" spans="1:14" x14ac:dyDescent="0.25">
      <c r="A62" s="2" t="s">
        <v>143</v>
      </c>
      <c r="B62" s="3" t="s">
        <v>35</v>
      </c>
      <c r="C62" s="3" t="s">
        <v>285</v>
      </c>
      <c r="D62" s="3" t="s">
        <v>286</v>
      </c>
      <c r="E62" s="3" t="s">
        <v>9</v>
      </c>
      <c r="F62" s="3" t="s">
        <v>31</v>
      </c>
      <c r="G62" s="24">
        <v>33468</v>
      </c>
      <c r="H62" s="3" t="str">
        <f>IF(Sheet1[[#This Row],[Salary]]&lt;40000,"Low Salary",IF(Sheet1[[#This Row],[Salary]]&lt;=70000,"Good Salary","High Salary"))</f>
        <v>Low Salary</v>
      </c>
      <c r="I62" s="13">
        <v>42463</v>
      </c>
      <c r="J62" s="32" t="s">
        <v>324</v>
      </c>
      <c r="K62" s="18">
        <f ca="1">DATEDIF(Sheet1[[#This Row],[Date of Joining]],TODAY(),"d")</f>
        <v>3697</v>
      </c>
      <c r="L62" s="3">
        <v>4</v>
      </c>
      <c r="M62" s="3" t="s">
        <v>24</v>
      </c>
      <c r="N62" s="4" t="s">
        <v>144</v>
      </c>
    </row>
    <row r="63" spans="1:14" x14ac:dyDescent="0.25">
      <c r="A63" s="2" t="s">
        <v>145</v>
      </c>
      <c r="B63" s="3" t="s">
        <v>35</v>
      </c>
      <c r="C63" s="3" t="s">
        <v>285</v>
      </c>
      <c r="D63" s="3" t="s">
        <v>286</v>
      </c>
      <c r="E63" s="3" t="s">
        <v>38</v>
      </c>
      <c r="F63" s="3" t="s">
        <v>59</v>
      </c>
      <c r="G63" s="24">
        <v>96365</v>
      </c>
      <c r="H63" s="3" t="str">
        <f>IF(Sheet1[[#This Row],[Salary]]&lt;40000,"Low Salary",IF(Sheet1[[#This Row],[Salary]]&lt;=70000,"Good Salary","High Salary"))</f>
        <v>High Salary</v>
      </c>
      <c r="I63" s="13">
        <v>42470</v>
      </c>
      <c r="J63" s="32" t="s">
        <v>324</v>
      </c>
      <c r="K63" s="18">
        <f ca="1">DATEDIF(Sheet1[[#This Row],[Date of Joining]],TODAY(),"d")</f>
        <v>3690</v>
      </c>
      <c r="L63" s="3">
        <v>3</v>
      </c>
      <c r="M63" s="3" t="s">
        <v>15</v>
      </c>
      <c r="N63" s="4" t="s">
        <v>146</v>
      </c>
    </row>
    <row r="64" spans="1:14" x14ac:dyDescent="0.25">
      <c r="A64" s="2" t="s">
        <v>147</v>
      </c>
      <c r="B64" s="3" t="s">
        <v>18</v>
      </c>
      <c r="C64" s="3" t="s">
        <v>279</v>
      </c>
      <c r="D64" s="3" t="s">
        <v>280</v>
      </c>
      <c r="E64" s="3" t="s">
        <v>22</v>
      </c>
      <c r="F64" s="3" t="s">
        <v>31</v>
      </c>
      <c r="G64" s="24">
        <v>61942</v>
      </c>
      <c r="H64" s="3" t="str">
        <f>IF(Sheet1[[#This Row],[Salary]]&lt;40000,"Low Salary",IF(Sheet1[[#This Row],[Salary]]&lt;=70000,"Good Salary","High Salary"))</f>
        <v>Good Salary</v>
      </c>
      <c r="I64" s="13">
        <v>42477</v>
      </c>
      <c r="J64" s="32" t="s">
        <v>324</v>
      </c>
      <c r="K64" s="18">
        <f ca="1">DATEDIF(Sheet1[[#This Row],[Date of Joining]],TODAY(),"d")</f>
        <v>3683</v>
      </c>
      <c r="L64" s="3">
        <v>3</v>
      </c>
      <c r="M64" s="3" t="s">
        <v>32</v>
      </c>
      <c r="N64" s="4" t="s">
        <v>148</v>
      </c>
    </row>
    <row r="65" spans="1:14" x14ac:dyDescent="0.25">
      <c r="A65" s="2" t="s">
        <v>149</v>
      </c>
      <c r="B65" s="3" t="s">
        <v>35</v>
      </c>
      <c r="C65" s="3" t="s">
        <v>285</v>
      </c>
      <c r="D65" s="3" t="s">
        <v>286</v>
      </c>
      <c r="E65" s="3" t="s">
        <v>9</v>
      </c>
      <c r="F65" s="3" t="s">
        <v>43</v>
      </c>
      <c r="G65" s="24">
        <v>41467</v>
      </c>
      <c r="H65" s="3" t="str">
        <f>IF(Sheet1[[#This Row],[Salary]]&lt;40000,"Low Salary",IF(Sheet1[[#This Row],[Salary]]&lt;=70000,"Good Salary","High Salary"))</f>
        <v>Good Salary</v>
      </c>
      <c r="I65" s="13">
        <v>42484</v>
      </c>
      <c r="J65" s="32" t="s">
        <v>324</v>
      </c>
      <c r="K65" s="18">
        <f ca="1">DATEDIF(Sheet1[[#This Row],[Date of Joining]],TODAY(),"d")</f>
        <v>3676</v>
      </c>
      <c r="L65" s="3">
        <v>2</v>
      </c>
      <c r="M65" s="3" t="s">
        <v>276</v>
      </c>
      <c r="N65" s="4" t="s">
        <v>68</v>
      </c>
    </row>
    <row r="66" spans="1:14" x14ac:dyDescent="0.25">
      <c r="A66" s="2" t="s">
        <v>150</v>
      </c>
      <c r="B66" s="3" t="s">
        <v>50</v>
      </c>
      <c r="C66" s="3" t="s">
        <v>289</v>
      </c>
      <c r="D66" s="3" t="s">
        <v>290</v>
      </c>
      <c r="E66" s="3" t="s">
        <v>9</v>
      </c>
      <c r="F66" s="3" t="s">
        <v>31</v>
      </c>
      <c r="G66" s="24">
        <v>77096</v>
      </c>
      <c r="H66" s="3" t="str">
        <f>IF(Sheet1[[#This Row],[Salary]]&lt;40000,"Low Salary",IF(Sheet1[[#This Row],[Salary]]&lt;=70000,"Good Salary","High Salary"))</f>
        <v>High Salary</v>
      </c>
      <c r="I66" s="13">
        <v>42491</v>
      </c>
      <c r="J66" s="32" t="s">
        <v>325</v>
      </c>
      <c r="K66" s="18">
        <f ca="1">DATEDIF(Sheet1[[#This Row],[Date of Joining]],TODAY(),"d")</f>
        <v>3669</v>
      </c>
      <c r="L66" s="3">
        <v>1</v>
      </c>
      <c r="M66" s="3" t="s">
        <v>276</v>
      </c>
      <c r="N66" s="4" t="s">
        <v>151</v>
      </c>
    </row>
    <row r="67" spans="1:14" x14ac:dyDescent="0.25">
      <c r="A67" s="2" t="s">
        <v>152</v>
      </c>
      <c r="B67" s="3" t="s">
        <v>12</v>
      </c>
      <c r="C67" s="3" t="s">
        <v>277</v>
      </c>
      <c r="D67" s="3" t="s">
        <v>278</v>
      </c>
      <c r="E67" s="3" t="s">
        <v>22</v>
      </c>
      <c r="F67" s="3" t="s">
        <v>59</v>
      </c>
      <c r="G67" s="24">
        <v>69952</v>
      </c>
      <c r="H67" s="3" t="str">
        <f>IF(Sheet1[[#This Row],[Salary]]&lt;40000,"Low Salary",IF(Sheet1[[#This Row],[Salary]]&lt;=70000,"Good Salary","High Salary"))</f>
        <v>Good Salary</v>
      </c>
      <c r="I67" s="13">
        <v>42498</v>
      </c>
      <c r="J67" s="32" t="s">
        <v>325</v>
      </c>
      <c r="K67" s="18">
        <f ca="1">DATEDIF(Sheet1[[#This Row],[Date of Joining]],TODAY(),"d")</f>
        <v>3662</v>
      </c>
      <c r="L67" s="3">
        <v>5</v>
      </c>
      <c r="M67" s="3" t="s">
        <v>32</v>
      </c>
      <c r="N67" s="4" t="s">
        <v>10</v>
      </c>
    </row>
    <row r="68" spans="1:14" x14ac:dyDescent="0.25">
      <c r="A68" s="2" t="s">
        <v>153</v>
      </c>
      <c r="B68" s="3" t="s">
        <v>12</v>
      </c>
      <c r="C68" s="3" t="s">
        <v>277</v>
      </c>
      <c r="D68" s="3" t="s">
        <v>278</v>
      </c>
      <c r="E68" s="3" t="s">
        <v>38</v>
      </c>
      <c r="F68" s="3" t="s">
        <v>23</v>
      </c>
      <c r="G68" s="24">
        <v>85065</v>
      </c>
      <c r="H68" s="3" t="str">
        <f>IF(Sheet1[[#This Row],[Salary]]&lt;40000,"Low Salary",IF(Sheet1[[#This Row],[Salary]]&lt;=70000,"Good Salary","High Salary"))</f>
        <v>High Salary</v>
      </c>
      <c r="I68" s="13">
        <v>42505</v>
      </c>
      <c r="J68" s="32" t="s">
        <v>325</v>
      </c>
      <c r="K68" s="18">
        <f ca="1">DATEDIF(Sheet1[[#This Row],[Date of Joining]],TODAY(),"d")</f>
        <v>3655</v>
      </c>
      <c r="L68" s="3">
        <v>3</v>
      </c>
      <c r="M68" s="3" t="s">
        <v>276</v>
      </c>
      <c r="N68" s="4" t="s">
        <v>154</v>
      </c>
    </row>
    <row r="69" spans="1:14" x14ac:dyDescent="0.25">
      <c r="A69" s="2" t="s">
        <v>155</v>
      </c>
      <c r="B69" s="3" t="s">
        <v>50</v>
      </c>
      <c r="C69" s="3" t="s">
        <v>289</v>
      </c>
      <c r="D69" s="3" t="s">
        <v>290</v>
      </c>
      <c r="E69" s="3" t="s">
        <v>38</v>
      </c>
      <c r="F69" s="3" t="s">
        <v>31</v>
      </c>
      <c r="G69" s="24">
        <v>56512</v>
      </c>
      <c r="H69" s="3" t="str">
        <f>IF(Sheet1[[#This Row],[Salary]]&lt;40000,"Low Salary",IF(Sheet1[[#This Row],[Salary]]&lt;=70000,"Good Salary","High Salary"))</f>
        <v>Good Salary</v>
      </c>
      <c r="I69" s="13">
        <v>42512</v>
      </c>
      <c r="J69" s="32" t="s">
        <v>325</v>
      </c>
      <c r="K69" s="18">
        <f ca="1">DATEDIF(Sheet1[[#This Row],[Date of Joining]],TODAY(),"d")</f>
        <v>3648</v>
      </c>
      <c r="L69" s="3">
        <v>3</v>
      </c>
      <c r="M69" s="3" t="s">
        <v>15</v>
      </c>
      <c r="N69" s="4" t="s">
        <v>44</v>
      </c>
    </row>
    <row r="70" spans="1:14" x14ac:dyDescent="0.25">
      <c r="A70" s="2" t="s">
        <v>156</v>
      </c>
      <c r="B70" s="3" t="s">
        <v>21</v>
      </c>
      <c r="C70" s="3" t="s">
        <v>281</v>
      </c>
      <c r="D70" s="3" t="s">
        <v>282</v>
      </c>
      <c r="E70" s="3" t="s">
        <v>22</v>
      </c>
      <c r="F70" s="3" t="s">
        <v>31</v>
      </c>
      <c r="G70" s="24">
        <v>91101</v>
      </c>
      <c r="H70" s="3" t="str">
        <f>IF(Sheet1[[#This Row],[Salary]]&lt;40000,"Low Salary",IF(Sheet1[[#This Row],[Salary]]&lt;=70000,"Good Salary","High Salary"))</f>
        <v>High Salary</v>
      </c>
      <c r="I70" s="13">
        <v>42519</v>
      </c>
      <c r="J70" s="32" t="s">
        <v>325</v>
      </c>
      <c r="K70" s="18">
        <f ca="1">DATEDIF(Sheet1[[#This Row],[Date of Joining]],TODAY(),"d")</f>
        <v>3641</v>
      </c>
      <c r="L70" s="3">
        <v>4</v>
      </c>
      <c r="M70" s="3" t="s">
        <v>32</v>
      </c>
      <c r="N70" s="4" t="s">
        <v>138</v>
      </c>
    </row>
    <row r="71" spans="1:14" x14ac:dyDescent="0.25">
      <c r="A71" s="2" t="s">
        <v>157</v>
      </c>
      <c r="B71" s="3" t="s">
        <v>35</v>
      </c>
      <c r="C71" s="3" t="s">
        <v>285</v>
      </c>
      <c r="D71" s="3" t="s">
        <v>286</v>
      </c>
      <c r="E71" s="3" t="s">
        <v>38</v>
      </c>
      <c r="F71" s="3" t="s">
        <v>14</v>
      </c>
      <c r="G71" s="24">
        <v>41243</v>
      </c>
      <c r="H71" s="3" t="str">
        <f>IF(Sheet1[[#This Row],[Salary]]&lt;40000,"Low Salary",IF(Sheet1[[#This Row],[Salary]]&lt;=70000,"Good Salary","High Salary"))</f>
        <v>Good Salary</v>
      </c>
      <c r="I71" s="13">
        <v>42526</v>
      </c>
      <c r="J71" s="32" t="s">
        <v>326</v>
      </c>
      <c r="K71" s="18">
        <f ca="1">DATEDIF(Sheet1[[#This Row],[Date of Joining]],TODAY(),"d")</f>
        <v>3634</v>
      </c>
      <c r="L71" s="3">
        <v>3</v>
      </c>
      <c r="M71" s="3" t="s">
        <v>276</v>
      </c>
      <c r="N71" s="4" t="s">
        <v>86</v>
      </c>
    </row>
    <row r="72" spans="1:14" x14ac:dyDescent="0.25">
      <c r="A72" s="2" t="s">
        <v>158</v>
      </c>
      <c r="B72" s="3" t="s">
        <v>12</v>
      </c>
      <c r="C72" s="3" t="s">
        <v>277</v>
      </c>
      <c r="D72" s="3" t="s">
        <v>278</v>
      </c>
      <c r="E72" s="3" t="s">
        <v>30</v>
      </c>
      <c r="F72" s="3" t="s">
        <v>31</v>
      </c>
      <c r="G72" s="24">
        <v>94301</v>
      </c>
      <c r="H72" s="3" t="str">
        <f>IF(Sheet1[[#This Row],[Salary]]&lt;40000,"Low Salary",IF(Sheet1[[#This Row],[Salary]]&lt;=70000,"Good Salary","High Salary"))</f>
        <v>High Salary</v>
      </c>
      <c r="I72" s="13">
        <v>42540</v>
      </c>
      <c r="J72" s="32" t="s">
        <v>326</v>
      </c>
      <c r="K72" s="18">
        <f ca="1">DATEDIF(Sheet1[[#This Row],[Date of Joining]],TODAY(),"d")</f>
        <v>3620</v>
      </c>
      <c r="L72" s="3">
        <v>1</v>
      </c>
      <c r="M72" s="3" t="s">
        <v>24</v>
      </c>
      <c r="N72" s="4" t="s">
        <v>111</v>
      </c>
    </row>
    <row r="73" spans="1:14" x14ac:dyDescent="0.25">
      <c r="A73" s="2" t="s">
        <v>159</v>
      </c>
      <c r="B73" s="3" t="s">
        <v>27</v>
      </c>
      <c r="C73" s="3" t="s">
        <v>283</v>
      </c>
      <c r="D73" s="3" t="s">
        <v>284</v>
      </c>
      <c r="E73" s="3" t="s">
        <v>38</v>
      </c>
      <c r="F73" s="3" t="s">
        <v>43</v>
      </c>
      <c r="G73" s="24">
        <v>69166</v>
      </c>
      <c r="H73" s="3" t="str">
        <f>IF(Sheet1[[#This Row],[Salary]]&lt;40000,"Low Salary",IF(Sheet1[[#This Row],[Salary]]&lt;=70000,"Good Salary","High Salary"))</f>
        <v>Good Salary</v>
      </c>
      <c r="I73" s="13">
        <v>42547</v>
      </c>
      <c r="J73" s="32" t="s">
        <v>326</v>
      </c>
      <c r="K73" s="18">
        <f ca="1">DATEDIF(Sheet1[[#This Row],[Date of Joining]],TODAY(),"d")</f>
        <v>3613</v>
      </c>
      <c r="L73" s="3">
        <v>1</v>
      </c>
      <c r="M73" s="3" t="s">
        <v>32</v>
      </c>
      <c r="N73" s="4" t="s">
        <v>160</v>
      </c>
    </row>
    <row r="74" spans="1:14" x14ac:dyDescent="0.25">
      <c r="A74" s="2" t="s">
        <v>161</v>
      </c>
      <c r="B74" s="3" t="s">
        <v>35</v>
      </c>
      <c r="C74" s="3" t="s">
        <v>285</v>
      </c>
      <c r="D74" s="3" t="s">
        <v>286</v>
      </c>
      <c r="E74" s="3" t="s">
        <v>38</v>
      </c>
      <c r="F74" s="3" t="s">
        <v>43</v>
      </c>
      <c r="G74" s="24">
        <v>78245</v>
      </c>
      <c r="H74" s="3" t="str">
        <f>IF(Sheet1[[#This Row],[Salary]]&lt;40000,"Low Salary",IF(Sheet1[[#This Row],[Salary]]&lt;=70000,"Good Salary","High Salary"))</f>
        <v>High Salary</v>
      </c>
      <c r="I74" s="13">
        <v>42554</v>
      </c>
      <c r="J74" s="32" t="s">
        <v>327</v>
      </c>
      <c r="K74" s="18">
        <f ca="1">DATEDIF(Sheet1[[#This Row],[Date of Joining]],TODAY(),"d")</f>
        <v>3606</v>
      </c>
      <c r="L74" s="3">
        <v>2</v>
      </c>
      <c r="M74" s="3" t="s">
        <v>276</v>
      </c>
      <c r="N74" s="4" t="s">
        <v>162</v>
      </c>
    </row>
    <row r="75" spans="1:14" x14ac:dyDescent="0.25">
      <c r="A75" s="2" t="s">
        <v>163</v>
      </c>
      <c r="B75" s="3" t="s">
        <v>37</v>
      </c>
      <c r="C75" s="3" t="s">
        <v>287</v>
      </c>
      <c r="D75" s="3" t="s">
        <v>288</v>
      </c>
      <c r="E75" s="3" t="s">
        <v>22</v>
      </c>
      <c r="F75" s="3" t="s">
        <v>23</v>
      </c>
      <c r="G75" s="24">
        <v>66079</v>
      </c>
      <c r="H75" s="3" t="str">
        <f>IF(Sheet1[[#This Row],[Salary]]&lt;40000,"Low Salary",IF(Sheet1[[#This Row],[Salary]]&lt;=70000,"Good Salary","High Salary"))</f>
        <v>Good Salary</v>
      </c>
      <c r="I75" s="13">
        <v>42561</v>
      </c>
      <c r="J75" s="32" t="s">
        <v>327</v>
      </c>
      <c r="K75" s="18">
        <f ca="1">DATEDIF(Sheet1[[#This Row],[Date of Joining]],TODAY(),"d")</f>
        <v>3599</v>
      </c>
      <c r="L75" s="3">
        <v>2</v>
      </c>
      <c r="M75" s="3" t="s">
        <v>15</v>
      </c>
      <c r="N75" s="4" t="s">
        <v>164</v>
      </c>
    </row>
    <row r="76" spans="1:14" x14ac:dyDescent="0.25">
      <c r="A76" s="2" t="s">
        <v>165</v>
      </c>
      <c r="B76" s="3" t="s">
        <v>12</v>
      </c>
      <c r="C76" s="3" t="s">
        <v>277</v>
      </c>
      <c r="D76" s="3" t="s">
        <v>278</v>
      </c>
      <c r="E76" s="3" t="s">
        <v>38</v>
      </c>
      <c r="F76" s="3" t="s">
        <v>31</v>
      </c>
      <c r="G76" s="25">
        <v>65882</v>
      </c>
      <c r="H76" s="3" t="str">
        <f>IF(Sheet1[[#This Row],[Salary]]&lt;40000,"Low Salary",IF(Sheet1[[#This Row],[Salary]]&lt;=70000,"Good Salary","High Salary"))</f>
        <v>Good Salary</v>
      </c>
      <c r="I76" s="13">
        <v>42568</v>
      </c>
      <c r="J76" s="32" t="s">
        <v>327</v>
      </c>
      <c r="K76" s="18">
        <f ca="1">DATEDIF(Sheet1[[#This Row],[Date of Joining]],TODAY(),"d")</f>
        <v>3592</v>
      </c>
      <c r="L76" s="3">
        <v>3</v>
      </c>
      <c r="M76" s="3" t="s">
        <v>276</v>
      </c>
      <c r="N76" s="4" t="s">
        <v>82</v>
      </c>
    </row>
    <row r="77" spans="1:14" x14ac:dyDescent="0.25">
      <c r="A77" s="2" t="s">
        <v>166</v>
      </c>
      <c r="B77" s="3" t="s">
        <v>27</v>
      </c>
      <c r="C77" s="3" t="s">
        <v>283</v>
      </c>
      <c r="D77" s="3" t="s">
        <v>284</v>
      </c>
      <c r="E77" s="3" t="s">
        <v>22</v>
      </c>
      <c r="F77" s="3" t="s">
        <v>23</v>
      </c>
      <c r="G77" s="24">
        <v>95621</v>
      </c>
      <c r="H77" s="3" t="str">
        <f>IF(Sheet1[[#This Row],[Salary]]&lt;40000,"Low Salary",IF(Sheet1[[#This Row],[Salary]]&lt;=70000,"Good Salary","High Salary"))</f>
        <v>High Salary</v>
      </c>
      <c r="I77" s="13">
        <v>42575</v>
      </c>
      <c r="J77" s="32" t="s">
        <v>327</v>
      </c>
      <c r="K77" s="18">
        <f ca="1">DATEDIF(Sheet1[[#This Row],[Date of Joining]],TODAY(),"d")</f>
        <v>3585</v>
      </c>
      <c r="L77" s="3">
        <v>3</v>
      </c>
      <c r="M77" s="3" t="s">
        <v>32</v>
      </c>
      <c r="N77" s="4" t="s">
        <v>167</v>
      </c>
    </row>
    <row r="78" spans="1:14" x14ac:dyDescent="0.25">
      <c r="A78" s="2" t="s">
        <v>168</v>
      </c>
      <c r="B78" s="3" t="s">
        <v>12</v>
      </c>
      <c r="C78" s="3" t="s">
        <v>277</v>
      </c>
      <c r="D78" s="3" t="s">
        <v>278</v>
      </c>
      <c r="E78" s="3" t="s">
        <v>30</v>
      </c>
      <c r="F78" s="3" t="s">
        <v>43</v>
      </c>
      <c r="G78" s="24">
        <v>42262</v>
      </c>
      <c r="H78" s="3" t="str">
        <f>IF(Sheet1[[#This Row],[Salary]]&lt;40000,"Low Salary",IF(Sheet1[[#This Row],[Salary]]&lt;=70000,"Good Salary","High Salary"))</f>
        <v>Good Salary</v>
      </c>
      <c r="I78" s="13">
        <v>42582</v>
      </c>
      <c r="J78" s="32" t="s">
        <v>327</v>
      </c>
      <c r="K78" s="18">
        <f ca="1">DATEDIF(Sheet1[[#This Row],[Date of Joining]],TODAY(),"d")</f>
        <v>3578</v>
      </c>
      <c r="L78" s="3">
        <v>1</v>
      </c>
      <c r="M78" s="3" t="s">
        <v>276</v>
      </c>
      <c r="N78" s="4" t="s">
        <v>169</v>
      </c>
    </row>
    <row r="79" spans="1:14" x14ac:dyDescent="0.25">
      <c r="A79" s="2" t="s">
        <v>170</v>
      </c>
      <c r="B79" s="3" t="s">
        <v>35</v>
      </c>
      <c r="C79" s="3" t="s">
        <v>285</v>
      </c>
      <c r="D79" s="3" t="s">
        <v>286</v>
      </c>
      <c r="E79" s="3" t="s">
        <v>22</v>
      </c>
      <c r="F79" s="3" t="s">
        <v>31</v>
      </c>
      <c r="G79" s="24">
        <v>99621</v>
      </c>
      <c r="H79" s="3" t="str">
        <f>IF(Sheet1[[#This Row],[Salary]]&lt;40000,"Low Salary",IF(Sheet1[[#This Row],[Salary]]&lt;=70000,"Good Salary","High Salary"))</f>
        <v>High Salary</v>
      </c>
      <c r="I79" s="13">
        <v>42589</v>
      </c>
      <c r="J79" s="32" t="s">
        <v>328</v>
      </c>
      <c r="K79" s="18">
        <f ca="1">DATEDIF(Sheet1[[#This Row],[Date of Joining]],TODAY(),"d")</f>
        <v>3571</v>
      </c>
      <c r="L79" s="3">
        <v>3</v>
      </c>
      <c r="M79" s="3" t="s">
        <v>15</v>
      </c>
      <c r="N79" s="4" t="s">
        <v>171</v>
      </c>
    </row>
    <row r="80" spans="1:14" x14ac:dyDescent="0.25">
      <c r="A80" s="2" t="s">
        <v>172</v>
      </c>
      <c r="B80" s="3" t="s">
        <v>21</v>
      </c>
      <c r="C80" s="3" t="s">
        <v>281</v>
      </c>
      <c r="D80" s="3" t="s">
        <v>282</v>
      </c>
      <c r="E80" s="3" t="s">
        <v>38</v>
      </c>
      <c r="F80" s="3" t="s">
        <v>31</v>
      </c>
      <c r="G80" s="24">
        <v>44682</v>
      </c>
      <c r="H80" s="3" t="str">
        <f>IF(Sheet1[[#This Row],[Salary]]&lt;40000,"Low Salary",IF(Sheet1[[#This Row],[Salary]]&lt;=70000,"Good Salary","High Salary"))</f>
        <v>Good Salary</v>
      </c>
      <c r="I80" s="13">
        <v>42596</v>
      </c>
      <c r="J80" s="32" t="s">
        <v>328</v>
      </c>
      <c r="K80" s="18">
        <f ca="1">DATEDIF(Sheet1[[#This Row],[Date of Joining]],TODAY(),"d")</f>
        <v>3564</v>
      </c>
      <c r="L80" s="3">
        <v>4</v>
      </c>
      <c r="M80" s="3" t="s">
        <v>32</v>
      </c>
      <c r="N80" s="4" t="s">
        <v>105</v>
      </c>
    </row>
    <row r="81" spans="1:14" x14ac:dyDescent="0.25">
      <c r="A81" s="2" t="s">
        <v>173</v>
      </c>
      <c r="B81" s="3" t="s">
        <v>37</v>
      </c>
      <c r="C81" s="3" t="s">
        <v>287</v>
      </c>
      <c r="D81" s="3" t="s">
        <v>288</v>
      </c>
      <c r="E81" s="3" t="s">
        <v>9</v>
      </c>
      <c r="F81" s="3" t="s">
        <v>31</v>
      </c>
      <c r="G81" s="24">
        <v>35163</v>
      </c>
      <c r="H81" s="3" t="str">
        <f>IF(Sheet1[[#This Row],[Salary]]&lt;40000,"Low Salary",IF(Sheet1[[#This Row],[Salary]]&lt;=70000,"Good Salary","High Salary"))</f>
        <v>Low Salary</v>
      </c>
      <c r="I81" s="13">
        <v>42603</v>
      </c>
      <c r="J81" s="32" t="s">
        <v>328</v>
      </c>
      <c r="K81" s="18">
        <f ca="1">DATEDIF(Sheet1[[#This Row],[Date of Joining]],TODAY(),"d")</f>
        <v>3557</v>
      </c>
      <c r="L81" s="3">
        <v>5</v>
      </c>
      <c r="M81" s="3" t="s">
        <v>15</v>
      </c>
      <c r="N81" s="4" t="s">
        <v>174</v>
      </c>
    </row>
    <row r="82" spans="1:14" x14ac:dyDescent="0.25">
      <c r="A82" s="2" t="s">
        <v>175</v>
      </c>
      <c r="B82" s="3" t="s">
        <v>37</v>
      </c>
      <c r="C82" s="3" t="s">
        <v>287</v>
      </c>
      <c r="D82" s="3" t="s">
        <v>288</v>
      </c>
      <c r="E82" s="3" t="s">
        <v>30</v>
      </c>
      <c r="F82" s="3" t="s">
        <v>31</v>
      </c>
      <c r="G82" s="24">
        <v>33483</v>
      </c>
      <c r="H82" s="3" t="str">
        <f>IF(Sheet1[[#This Row],[Salary]]&lt;40000,"Low Salary",IF(Sheet1[[#This Row],[Salary]]&lt;=70000,"Good Salary","High Salary"))</f>
        <v>Low Salary</v>
      </c>
      <c r="I82" s="13">
        <v>42610</v>
      </c>
      <c r="J82" s="32" t="s">
        <v>328</v>
      </c>
      <c r="K82" s="18">
        <f ca="1">DATEDIF(Sheet1[[#This Row],[Date of Joining]],TODAY(),"d")</f>
        <v>3550</v>
      </c>
      <c r="L82" s="3">
        <v>4</v>
      </c>
      <c r="M82" s="3" t="s">
        <v>24</v>
      </c>
      <c r="N82" s="4" t="s">
        <v>176</v>
      </c>
    </row>
    <row r="83" spans="1:14" x14ac:dyDescent="0.25">
      <c r="A83" s="2" t="s">
        <v>177</v>
      </c>
      <c r="B83" s="3" t="s">
        <v>35</v>
      </c>
      <c r="C83" s="3" t="s">
        <v>285</v>
      </c>
      <c r="D83" s="3" t="s">
        <v>286</v>
      </c>
      <c r="E83" s="3" t="s">
        <v>13</v>
      </c>
      <c r="F83" s="3" t="s">
        <v>14</v>
      </c>
      <c r="G83" s="24">
        <v>55303</v>
      </c>
      <c r="H83" s="3" t="str">
        <f>IF(Sheet1[[#This Row],[Salary]]&lt;40000,"Low Salary",IF(Sheet1[[#This Row],[Salary]]&lt;=70000,"Good Salary","High Salary"))</f>
        <v>Good Salary</v>
      </c>
      <c r="I83" s="13">
        <v>42617</v>
      </c>
      <c r="J83" s="32" t="s">
        <v>329</v>
      </c>
      <c r="K83" s="18">
        <f ca="1">DATEDIF(Sheet1[[#This Row],[Date of Joining]],TODAY(),"d")</f>
        <v>3543</v>
      </c>
      <c r="L83" s="3">
        <v>4</v>
      </c>
      <c r="M83" s="3" t="s">
        <v>24</v>
      </c>
      <c r="N83" s="4" t="s">
        <v>72</v>
      </c>
    </row>
    <row r="84" spans="1:14" x14ac:dyDescent="0.25">
      <c r="A84" s="2" t="s">
        <v>178</v>
      </c>
      <c r="B84" s="3" t="s">
        <v>37</v>
      </c>
      <c r="C84" s="3" t="s">
        <v>287</v>
      </c>
      <c r="D84" s="3" t="s">
        <v>288</v>
      </c>
      <c r="E84" s="3" t="s">
        <v>30</v>
      </c>
      <c r="F84" s="3" t="s">
        <v>31</v>
      </c>
      <c r="G84" s="24">
        <v>63434</v>
      </c>
      <c r="H84" s="3" t="str">
        <f>IF(Sheet1[[#This Row],[Salary]]&lt;40000,"Low Salary",IF(Sheet1[[#This Row],[Salary]]&lt;=70000,"Good Salary","High Salary"))</f>
        <v>Good Salary</v>
      </c>
      <c r="I84" s="13">
        <v>42624</v>
      </c>
      <c r="J84" s="32" t="s">
        <v>329</v>
      </c>
      <c r="K84" s="18">
        <f ca="1">DATEDIF(Sheet1[[#This Row],[Date of Joining]],TODAY(),"d")</f>
        <v>3536</v>
      </c>
      <c r="L84" s="3">
        <v>3</v>
      </c>
      <c r="M84" s="3" t="s">
        <v>276</v>
      </c>
      <c r="N84" s="4" t="s">
        <v>179</v>
      </c>
    </row>
    <row r="85" spans="1:14" x14ac:dyDescent="0.25">
      <c r="A85" s="2" t="s">
        <v>180</v>
      </c>
      <c r="B85" s="3" t="s">
        <v>27</v>
      </c>
      <c r="C85" s="3" t="s">
        <v>283</v>
      </c>
      <c r="D85" s="3" t="s">
        <v>284</v>
      </c>
      <c r="E85" s="3" t="s">
        <v>38</v>
      </c>
      <c r="F85" s="3" t="s">
        <v>59</v>
      </c>
      <c r="G85" s="24">
        <v>38830</v>
      </c>
      <c r="H85" s="3" t="str">
        <f>IF(Sheet1[[#This Row],[Salary]]&lt;40000,"Low Salary",IF(Sheet1[[#This Row],[Salary]]&lt;=70000,"Good Salary","High Salary"))</f>
        <v>Low Salary</v>
      </c>
      <c r="I85" s="13">
        <v>42631</v>
      </c>
      <c r="J85" s="32" t="s">
        <v>329</v>
      </c>
      <c r="K85" s="18">
        <f ca="1">DATEDIF(Sheet1[[#This Row],[Date of Joining]],TODAY(),"d")</f>
        <v>3529</v>
      </c>
      <c r="L85" s="3">
        <v>3</v>
      </c>
      <c r="M85" s="3" t="s">
        <v>15</v>
      </c>
      <c r="N85" s="4" t="s">
        <v>72</v>
      </c>
    </row>
    <row r="86" spans="1:14" x14ac:dyDescent="0.25">
      <c r="A86" s="2" t="s">
        <v>181</v>
      </c>
      <c r="B86" s="3" t="s">
        <v>18</v>
      </c>
      <c r="C86" s="3" t="s">
        <v>279</v>
      </c>
      <c r="D86" s="3" t="s">
        <v>280</v>
      </c>
      <c r="E86" s="3" t="s">
        <v>13</v>
      </c>
      <c r="F86" s="3" t="s">
        <v>59</v>
      </c>
      <c r="G86" s="24">
        <v>69420</v>
      </c>
      <c r="H86" s="3" t="str">
        <f>IF(Sheet1[[#This Row],[Salary]]&lt;40000,"Low Salary",IF(Sheet1[[#This Row],[Salary]]&lt;=70000,"Good Salary","High Salary"))</f>
        <v>Good Salary</v>
      </c>
      <c r="I86" s="13">
        <v>42645</v>
      </c>
      <c r="J86" s="32" t="s">
        <v>330</v>
      </c>
      <c r="K86" s="18">
        <f ca="1">DATEDIF(Sheet1[[#This Row],[Date of Joining]],TODAY(),"d")</f>
        <v>3515</v>
      </c>
      <c r="L86" s="3">
        <v>1</v>
      </c>
      <c r="M86" s="3" t="s">
        <v>24</v>
      </c>
      <c r="N86" s="4" t="s">
        <v>115</v>
      </c>
    </row>
    <row r="87" spans="1:14" x14ac:dyDescent="0.25">
      <c r="A87" s="2" t="s">
        <v>182</v>
      </c>
      <c r="B87" s="3" t="s">
        <v>27</v>
      </c>
      <c r="C87" s="3" t="s">
        <v>283</v>
      </c>
      <c r="D87" s="3" t="s">
        <v>284</v>
      </c>
      <c r="E87" s="3" t="s">
        <v>30</v>
      </c>
      <c r="F87" s="3" t="s">
        <v>31</v>
      </c>
      <c r="G87" s="24">
        <v>80588</v>
      </c>
      <c r="H87" s="3" t="str">
        <f>IF(Sheet1[[#This Row],[Salary]]&lt;40000,"Low Salary",IF(Sheet1[[#This Row],[Salary]]&lt;=70000,"Good Salary","High Salary"))</f>
        <v>High Salary</v>
      </c>
      <c r="I87" s="13">
        <v>42652</v>
      </c>
      <c r="J87" s="32" t="s">
        <v>330</v>
      </c>
      <c r="K87" s="18">
        <f ca="1">DATEDIF(Sheet1[[#This Row],[Date of Joining]],TODAY(),"d")</f>
        <v>3508</v>
      </c>
      <c r="L87" s="3">
        <v>5</v>
      </c>
      <c r="M87" s="3" t="s">
        <v>24</v>
      </c>
      <c r="N87" s="4" t="s">
        <v>97</v>
      </c>
    </row>
    <row r="88" spans="1:14" x14ac:dyDescent="0.25">
      <c r="A88" s="2" t="s">
        <v>183</v>
      </c>
      <c r="B88" s="3" t="s">
        <v>18</v>
      </c>
      <c r="C88" s="3" t="s">
        <v>279</v>
      </c>
      <c r="D88" s="3" t="s">
        <v>280</v>
      </c>
      <c r="E88" s="3" t="s">
        <v>38</v>
      </c>
      <c r="F88" s="3" t="s">
        <v>23</v>
      </c>
      <c r="G88" s="24">
        <v>76238</v>
      </c>
      <c r="H88" s="3" t="str">
        <f>IF(Sheet1[[#This Row],[Salary]]&lt;40000,"Low Salary",IF(Sheet1[[#This Row],[Salary]]&lt;=70000,"Good Salary","High Salary"))</f>
        <v>High Salary</v>
      </c>
      <c r="I88" s="13">
        <v>42659</v>
      </c>
      <c r="J88" s="32" t="s">
        <v>330</v>
      </c>
      <c r="K88" s="18">
        <f ca="1">DATEDIF(Sheet1[[#This Row],[Date of Joining]],TODAY(),"d")</f>
        <v>3501</v>
      </c>
      <c r="L88" s="3">
        <v>4</v>
      </c>
      <c r="M88" s="3" t="s">
        <v>24</v>
      </c>
      <c r="N88" s="4" t="s">
        <v>184</v>
      </c>
    </row>
    <row r="89" spans="1:14" x14ac:dyDescent="0.25">
      <c r="A89" s="2" t="s">
        <v>185</v>
      </c>
      <c r="B89" s="3" t="s">
        <v>50</v>
      </c>
      <c r="C89" s="3" t="s">
        <v>289</v>
      </c>
      <c r="D89" s="3" t="s">
        <v>290</v>
      </c>
      <c r="E89" s="3" t="s">
        <v>30</v>
      </c>
      <c r="F89" s="3" t="s">
        <v>31</v>
      </c>
      <c r="G89" s="24">
        <v>33264</v>
      </c>
      <c r="H89" s="3" t="str">
        <f>IF(Sheet1[[#This Row],[Salary]]&lt;40000,"Low Salary",IF(Sheet1[[#This Row],[Salary]]&lt;=70000,"Good Salary","High Salary"))</f>
        <v>Low Salary</v>
      </c>
      <c r="I89" s="13">
        <v>42666</v>
      </c>
      <c r="J89" s="32" t="s">
        <v>330</v>
      </c>
      <c r="K89" s="18">
        <f ca="1">DATEDIF(Sheet1[[#This Row],[Date of Joining]],TODAY(),"d")</f>
        <v>3494</v>
      </c>
      <c r="L89" s="3">
        <v>3</v>
      </c>
      <c r="M89" s="3" t="s">
        <v>32</v>
      </c>
      <c r="N89" s="4" t="s">
        <v>186</v>
      </c>
    </row>
    <row r="90" spans="1:14" x14ac:dyDescent="0.25">
      <c r="A90" s="2" t="s">
        <v>187</v>
      </c>
      <c r="B90" s="3" t="s">
        <v>18</v>
      </c>
      <c r="C90" s="3" t="s">
        <v>279</v>
      </c>
      <c r="D90" s="3" t="s">
        <v>280</v>
      </c>
      <c r="E90" s="3" t="s">
        <v>9</v>
      </c>
      <c r="F90" s="3" t="s">
        <v>59</v>
      </c>
      <c r="G90" s="24">
        <v>96101</v>
      </c>
      <c r="H90" s="3" t="str">
        <f>IF(Sheet1[[#This Row],[Salary]]&lt;40000,"Low Salary",IF(Sheet1[[#This Row],[Salary]]&lt;=70000,"Good Salary","High Salary"))</f>
        <v>High Salary</v>
      </c>
      <c r="I90" s="13">
        <v>42673</v>
      </c>
      <c r="J90" s="32" t="s">
        <v>330</v>
      </c>
      <c r="K90" s="18">
        <f ca="1">DATEDIF(Sheet1[[#This Row],[Date of Joining]],TODAY(),"d")</f>
        <v>3487</v>
      </c>
      <c r="L90" s="3">
        <v>3</v>
      </c>
      <c r="M90" s="3" t="s">
        <v>15</v>
      </c>
      <c r="N90" s="4" t="s">
        <v>188</v>
      </c>
    </row>
    <row r="91" spans="1:14" x14ac:dyDescent="0.25">
      <c r="A91" s="2" t="s">
        <v>189</v>
      </c>
      <c r="B91" s="3" t="s">
        <v>27</v>
      </c>
      <c r="C91" s="3" t="s">
        <v>283</v>
      </c>
      <c r="D91" s="3" t="s">
        <v>284</v>
      </c>
      <c r="E91" s="3" t="s">
        <v>9</v>
      </c>
      <c r="F91" s="3" t="s">
        <v>23</v>
      </c>
      <c r="G91" s="24">
        <v>72939</v>
      </c>
      <c r="H91" s="3" t="str">
        <f>IF(Sheet1[[#This Row],[Salary]]&lt;40000,"Low Salary",IF(Sheet1[[#This Row],[Salary]]&lt;=70000,"Good Salary","High Salary"))</f>
        <v>High Salary</v>
      </c>
      <c r="I91" s="13">
        <v>42680</v>
      </c>
      <c r="J91" s="32" t="s">
        <v>331</v>
      </c>
      <c r="K91" s="18">
        <f ca="1">DATEDIF(Sheet1[[#This Row],[Date of Joining]],TODAY(),"d")</f>
        <v>3480</v>
      </c>
      <c r="L91" s="3">
        <v>3</v>
      </c>
      <c r="M91" s="3" t="s">
        <v>276</v>
      </c>
      <c r="N91" s="4" t="s">
        <v>190</v>
      </c>
    </row>
    <row r="92" spans="1:14" x14ac:dyDescent="0.25">
      <c r="A92" s="2" t="s">
        <v>191</v>
      </c>
      <c r="B92" s="3" t="s">
        <v>35</v>
      </c>
      <c r="C92" s="3" t="s">
        <v>285</v>
      </c>
      <c r="D92" s="3" t="s">
        <v>286</v>
      </c>
      <c r="E92" s="3" t="s">
        <v>13</v>
      </c>
      <c r="F92" s="3" t="s">
        <v>14</v>
      </c>
      <c r="G92" s="24">
        <v>89333</v>
      </c>
      <c r="H92" s="3" t="str">
        <f>IF(Sheet1[[#This Row],[Salary]]&lt;40000,"Low Salary",IF(Sheet1[[#This Row],[Salary]]&lt;=70000,"Good Salary","High Salary"))</f>
        <v>High Salary</v>
      </c>
      <c r="I92" s="13">
        <v>42687</v>
      </c>
      <c r="J92" s="32" t="s">
        <v>331</v>
      </c>
      <c r="K92" s="18">
        <f ca="1">DATEDIF(Sheet1[[#This Row],[Date of Joining]],TODAY(),"d")</f>
        <v>3473</v>
      </c>
      <c r="L92" s="3">
        <v>1</v>
      </c>
      <c r="M92" s="3" t="s">
        <v>24</v>
      </c>
      <c r="N92" s="4" t="s">
        <v>192</v>
      </c>
    </row>
    <row r="93" spans="1:14" x14ac:dyDescent="0.25">
      <c r="A93" s="2" t="s">
        <v>193</v>
      </c>
      <c r="B93" s="3" t="s">
        <v>50</v>
      </c>
      <c r="C93" s="3" t="s">
        <v>289</v>
      </c>
      <c r="D93" s="3" t="s">
        <v>290</v>
      </c>
      <c r="E93" s="3" t="s">
        <v>30</v>
      </c>
      <c r="F93" s="3" t="s">
        <v>59</v>
      </c>
      <c r="G93" s="24">
        <v>70470</v>
      </c>
      <c r="H93" s="3" t="str">
        <f>IF(Sheet1[[#This Row],[Salary]]&lt;40000,"Low Salary",IF(Sheet1[[#This Row],[Salary]]&lt;=70000,"Good Salary","High Salary"))</f>
        <v>High Salary</v>
      </c>
      <c r="I93" s="13">
        <v>42694</v>
      </c>
      <c r="J93" s="32" t="s">
        <v>331</v>
      </c>
      <c r="K93" s="18">
        <f ca="1">DATEDIF(Sheet1[[#This Row],[Date of Joining]],TODAY(),"d")</f>
        <v>3466</v>
      </c>
      <c r="L93" s="3">
        <v>3</v>
      </c>
      <c r="M93" s="3" t="s">
        <v>24</v>
      </c>
      <c r="N93" s="4" t="s">
        <v>194</v>
      </c>
    </row>
    <row r="94" spans="1:14" x14ac:dyDescent="0.25">
      <c r="A94" s="2" t="s">
        <v>195</v>
      </c>
      <c r="B94" s="3" t="s">
        <v>12</v>
      </c>
      <c r="C94" s="3" t="s">
        <v>277</v>
      </c>
      <c r="D94" s="3" t="s">
        <v>278</v>
      </c>
      <c r="E94" s="3" t="s">
        <v>38</v>
      </c>
      <c r="F94" s="3" t="s">
        <v>23</v>
      </c>
      <c r="G94" s="24">
        <v>70096</v>
      </c>
      <c r="H94" s="3" t="str">
        <f>IF(Sheet1[[#This Row],[Salary]]&lt;40000,"Low Salary",IF(Sheet1[[#This Row],[Salary]]&lt;=70000,"Good Salary","High Salary"))</f>
        <v>High Salary</v>
      </c>
      <c r="I94" s="13">
        <v>42701</v>
      </c>
      <c r="J94" s="32" t="s">
        <v>331</v>
      </c>
      <c r="K94" s="18">
        <f ca="1">DATEDIF(Sheet1[[#This Row],[Date of Joining]],TODAY(),"d")</f>
        <v>3459</v>
      </c>
      <c r="L94" s="3">
        <v>4</v>
      </c>
      <c r="M94" s="3" t="s">
        <v>24</v>
      </c>
      <c r="N94" s="4" t="s">
        <v>196</v>
      </c>
    </row>
    <row r="95" spans="1:14" x14ac:dyDescent="0.25">
      <c r="A95" s="2" t="s">
        <v>197</v>
      </c>
      <c r="B95" s="3" t="s">
        <v>50</v>
      </c>
      <c r="C95" s="3" t="s">
        <v>289</v>
      </c>
      <c r="D95" s="3" t="s">
        <v>290</v>
      </c>
      <c r="E95" s="3" t="s">
        <v>38</v>
      </c>
      <c r="F95" s="3" t="s">
        <v>31</v>
      </c>
      <c r="G95" s="25">
        <v>65882</v>
      </c>
      <c r="H95" s="3" t="str">
        <f>IF(Sheet1[[#This Row],[Salary]]&lt;40000,"Low Salary",IF(Sheet1[[#This Row],[Salary]]&lt;=70000,"Good Salary","High Salary"))</f>
        <v>Good Salary</v>
      </c>
      <c r="I95" s="13">
        <v>42708</v>
      </c>
      <c r="J95" s="32" t="s">
        <v>332</v>
      </c>
      <c r="K95" s="18">
        <f ca="1">DATEDIF(Sheet1[[#This Row],[Date of Joining]],TODAY(),"d")</f>
        <v>3452</v>
      </c>
      <c r="L95" s="3">
        <v>2</v>
      </c>
      <c r="M95" s="3" t="s">
        <v>15</v>
      </c>
      <c r="N95" s="4" t="s">
        <v>198</v>
      </c>
    </row>
    <row r="96" spans="1:14" x14ac:dyDescent="0.25">
      <c r="A96" s="2" t="s">
        <v>199</v>
      </c>
      <c r="B96" s="3" t="s">
        <v>50</v>
      </c>
      <c r="C96" s="3" t="s">
        <v>289</v>
      </c>
      <c r="D96" s="3" t="s">
        <v>290</v>
      </c>
      <c r="E96" s="3" t="s">
        <v>30</v>
      </c>
      <c r="F96" s="3" t="s">
        <v>14</v>
      </c>
      <c r="G96" s="24">
        <v>66503</v>
      </c>
      <c r="H96" s="3" t="str">
        <f>IF(Sheet1[[#This Row],[Salary]]&lt;40000,"Low Salary",IF(Sheet1[[#This Row],[Salary]]&lt;=70000,"Good Salary","High Salary"))</f>
        <v>Good Salary</v>
      </c>
      <c r="I96" s="13">
        <v>42715</v>
      </c>
      <c r="J96" s="32" t="s">
        <v>332</v>
      </c>
      <c r="K96" s="18">
        <f ca="1">DATEDIF(Sheet1[[#This Row],[Date of Joining]],TODAY(),"d")</f>
        <v>3445</v>
      </c>
      <c r="L96" s="3">
        <v>3</v>
      </c>
      <c r="M96" s="3" t="s">
        <v>24</v>
      </c>
      <c r="N96" s="4" t="s">
        <v>66</v>
      </c>
    </row>
    <row r="97" spans="1:14" x14ac:dyDescent="0.25">
      <c r="A97" s="2" t="s">
        <v>200</v>
      </c>
      <c r="B97" s="3" t="s">
        <v>18</v>
      </c>
      <c r="C97" s="3" t="s">
        <v>279</v>
      </c>
      <c r="D97" s="3" t="s">
        <v>280</v>
      </c>
      <c r="E97" s="3" t="s">
        <v>13</v>
      </c>
      <c r="F97" s="3" t="s">
        <v>14</v>
      </c>
      <c r="G97" s="24">
        <v>42096</v>
      </c>
      <c r="H97" s="3" t="str">
        <f>IF(Sheet1[[#This Row],[Salary]]&lt;40000,"Low Salary",IF(Sheet1[[#This Row],[Salary]]&lt;=70000,"Good Salary","High Salary"))</f>
        <v>Good Salary</v>
      </c>
      <c r="I97" s="13">
        <v>42722</v>
      </c>
      <c r="J97" s="32" t="s">
        <v>332</v>
      </c>
      <c r="K97" s="18">
        <f ca="1">DATEDIF(Sheet1[[#This Row],[Date of Joining]],TODAY(),"d")</f>
        <v>3438</v>
      </c>
      <c r="L97" s="3">
        <v>3</v>
      </c>
      <c r="M97" s="3" t="s">
        <v>32</v>
      </c>
      <c r="N97" s="4" t="s">
        <v>201</v>
      </c>
    </row>
    <row r="98" spans="1:14" x14ac:dyDescent="0.25">
      <c r="A98" s="2" t="s">
        <v>202</v>
      </c>
      <c r="B98" s="3" t="s">
        <v>18</v>
      </c>
      <c r="C98" s="3" t="s">
        <v>279</v>
      </c>
      <c r="D98" s="3" t="s">
        <v>280</v>
      </c>
      <c r="E98" s="3" t="s">
        <v>38</v>
      </c>
      <c r="F98" s="3" t="s">
        <v>31</v>
      </c>
      <c r="G98" s="24">
        <v>79145</v>
      </c>
      <c r="H98" s="3" t="str">
        <f>IF(Sheet1[[#This Row],[Salary]]&lt;40000,"Low Salary",IF(Sheet1[[#This Row],[Salary]]&lt;=70000,"Good Salary","High Salary"))</f>
        <v>High Salary</v>
      </c>
      <c r="I98" s="13">
        <v>42729</v>
      </c>
      <c r="J98" s="32" t="s">
        <v>332</v>
      </c>
      <c r="K98" s="18">
        <f ca="1">DATEDIF(Sheet1[[#This Row],[Date of Joining]],TODAY(),"d")</f>
        <v>3431</v>
      </c>
      <c r="L98" s="3">
        <v>5</v>
      </c>
      <c r="M98" s="3" t="s">
        <v>15</v>
      </c>
      <c r="N98" s="4" t="s">
        <v>111</v>
      </c>
    </row>
    <row r="99" spans="1:14" x14ac:dyDescent="0.25">
      <c r="A99" s="2" t="s">
        <v>203</v>
      </c>
      <c r="B99" s="3" t="s">
        <v>27</v>
      </c>
      <c r="C99" s="3" t="s">
        <v>283</v>
      </c>
      <c r="D99" s="3" t="s">
        <v>284</v>
      </c>
      <c r="E99" s="3" t="s">
        <v>38</v>
      </c>
      <c r="F99" s="3" t="s">
        <v>59</v>
      </c>
      <c r="G99" s="24">
        <v>61556</v>
      </c>
      <c r="H99" s="3" t="str">
        <f>IF(Sheet1[[#This Row],[Salary]]&lt;40000,"Low Salary",IF(Sheet1[[#This Row],[Salary]]&lt;=70000,"Good Salary","High Salary"))</f>
        <v>Good Salary</v>
      </c>
      <c r="I99" s="13">
        <v>42736</v>
      </c>
      <c r="J99" s="32" t="s">
        <v>335</v>
      </c>
      <c r="K99" s="18">
        <f ca="1">DATEDIF(Sheet1[[#This Row],[Date of Joining]],TODAY(),"d")</f>
        <v>3424</v>
      </c>
      <c r="L99" s="3">
        <v>1</v>
      </c>
      <c r="M99" s="3" t="s">
        <v>276</v>
      </c>
      <c r="N99" s="4" t="s">
        <v>198</v>
      </c>
    </row>
    <row r="100" spans="1:14" x14ac:dyDescent="0.25">
      <c r="A100" s="2" t="s">
        <v>204</v>
      </c>
      <c r="B100" s="3" t="s">
        <v>12</v>
      </c>
      <c r="C100" s="3" t="s">
        <v>277</v>
      </c>
      <c r="D100" s="3" t="s">
        <v>278</v>
      </c>
      <c r="E100" s="3" t="s">
        <v>30</v>
      </c>
      <c r="F100" s="3" t="s">
        <v>31</v>
      </c>
      <c r="G100" s="24">
        <v>48325</v>
      </c>
      <c r="H100" s="3" t="str">
        <f>IF(Sheet1[[#This Row],[Salary]]&lt;40000,"Low Salary",IF(Sheet1[[#This Row],[Salary]]&lt;=70000,"Good Salary","High Salary"))</f>
        <v>Good Salary</v>
      </c>
      <c r="I100" s="13">
        <v>42750</v>
      </c>
      <c r="J100" s="32" t="s">
        <v>335</v>
      </c>
      <c r="K100" s="18">
        <f ca="1">DATEDIF(Sheet1[[#This Row],[Date of Joining]],TODAY(),"d")</f>
        <v>3410</v>
      </c>
      <c r="L100" s="3">
        <v>3</v>
      </c>
      <c r="M100" s="3" t="s">
        <v>24</v>
      </c>
      <c r="N100" s="4" t="s">
        <v>205</v>
      </c>
    </row>
    <row r="101" spans="1:14" x14ac:dyDescent="0.25">
      <c r="A101" s="2" t="s">
        <v>206</v>
      </c>
      <c r="B101" s="3" t="s">
        <v>35</v>
      </c>
      <c r="C101" s="3" t="s">
        <v>285</v>
      </c>
      <c r="D101" s="3" t="s">
        <v>286</v>
      </c>
      <c r="E101" s="3" t="s">
        <v>38</v>
      </c>
      <c r="F101" s="3" t="s">
        <v>59</v>
      </c>
      <c r="G101" s="24">
        <v>86412</v>
      </c>
      <c r="H101" s="3" t="str">
        <f>IF(Sheet1[[#This Row],[Salary]]&lt;40000,"Low Salary",IF(Sheet1[[#This Row],[Salary]]&lt;=70000,"Good Salary","High Salary"))</f>
        <v>High Salary</v>
      </c>
      <c r="I101" s="13">
        <v>42757</v>
      </c>
      <c r="J101" s="32" t="s">
        <v>335</v>
      </c>
      <c r="K101" s="18">
        <f ca="1">DATEDIF(Sheet1[[#This Row],[Date of Joining]],TODAY(),"d")</f>
        <v>3403</v>
      </c>
      <c r="L101" s="3">
        <v>2</v>
      </c>
      <c r="M101" s="3" t="s">
        <v>32</v>
      </c>
      <c r="N101" s="4" t="s">
        <v>70</v>
      </c>
    </row>
    <row r="102" spans="1:14" x14ac:dyDescent="0.25">
      <c r="A102" s="2" t="s">
        <v>207</v>
      </c>
      <c r="B102" s="3" t="s">
        <v>35</v>
      </c>
      <c r="C102" s="3" t="s">
        <v>285</v>
      </c>
      <c r="D102" s="3" t="s">
        <v>286</v>
      </c>
      <c r="E102" s="3" t="s">
        <v>13</v>
      </c>
      <c r="F102" s="3" t="s">
        <v>31</v>
      </c>
      <c r="G102" s="24">
        <v>66761</v>
      </c>
      <c r="H102" s="3" t="str">
        <f>IF(Sheet1[[#This Row],[Salary]]&lt;40000,"Low Salary",IF(Sheet1[[#This Row],[Salary]]&lt;=70000,"Good Salary","High Salary"))</f>
        <v>Good Salary</v>
      </c>
      <c r="I102" s="13">
        <v>42764</v>
      </c>
      <c r="J102" s="32" t="s">
        <v>335</v>
      </c>
      <c r="K102" s="18">
        <f ca="1">DATEDIF(Sheet1[[#This Row],[Date of Joining]],TODAY(),"d")</f>
        <v>3396</v>
      </c>
      <c r="L102" s="3">
        <v>1</v>
      </c>
      <c r="M102" s="3" t="s">
        <v>276</v>
      </c>
      <c r="N102" s="4" t="s">
        <v>208</v>
      </c>
    </row>
    <row r="103" spans="1:14" x14ac:dyDescent="0.25">
      <c r="A103" s="2" t="s">
        <v>209</v>
      </c>
      <c r="B103" s="3" t="s">
        <v>27</v>
      </c>
      <c r="C103" s="3" t="s">
        <v>283</v>
      </c>
      <c r="D103" s="3" t="s">
        <v>284</v>
      </c>
      <c r="E103" s="3" t="s">
        <v>38</v>
      </c>
      <c r="F103" s="3" t="s">
        <v>31</v>
      </c>
      <c r="G103" s="24">
        <v>88850</v>
      </c>
      <c r="H103" s="3" t="str">
        <f>IF(Sheet1[[#This Row],[Salary]]&lt;40000,"Low Salary",IF(Sheet1[[#This Row],[Salary]]&lt;=70000,"Good Salary","High Salary"))</f>
        <v>High Salary</v>
      </c>
      <c r="I103" s="13">
        <v>42771</v>
      </c>
      <c r="J103" s="32" t="s">
        <v>334</v>
      </c>
      <c r="K103" s="18">
        <f ca="1">DATEDIF(Sheet1[[#This Row],[Date of Joining]],TODAY(),"d")</f>
        <v>3389</v>
      </c>
      <c r="L103" s="3">
        <v>1</v>
      </c>
      <c r="M103" s="3" t="s">
        <v>32</v>
      </c>
      <c r="N103" s="4" t="s">
        <v>210</v>
      </c>
    </row>
    <row r="104" spans="1:14" x14ac:dyDescent="0.25">
      <c r="A104" s="2" t="s">
        <v>211</v>
      </c>
      <c r="B104" s="3" t="s">
        <v>37</v>
      </c>
      <c r="C104" s="3" t="s">
        <v>287</v>
      </c>
      <c r="D104" s="3" t="s">
        <v>288</v>
      </c>
      <c r="E104" s="3" t="s">
        <v>22</v>
      </c>
      <c r="F104" s="3" t="s">
        <v>31</v>
      </c>
      <c r="G104" s="24">
        <v>31293</v>
      </c>
      <c r="H104" s="3" t="str">
        <f>IF(Sheet1[[#This Row],[Salary]]&lt;40000,"Low Salary",IF(Sheet1[[#This Row],[Salary]]&lt;=70000,"Good Salary","High Salary"))</f>
        <v>Low Salary</v>
      </c>
      <c r="I104" s="13">
        <v>42778</v>
      </c>
      <c r="J104" s="32" t="s">
        <v>334</v>
      </c>
      <c r="K104" s="18">
        <f ca="1">DATEDIF(Sheet1[[#This Row],[Date of Joining]],TODAY(),"d")</f>
        <v>3382</v>
      </c>
      <c r="L104" s="3">
        <v>2</v>
      </c>
      <c r="M104" s="3" t="s">
        <v>32</v>
      </c>
      <c r="N104" s="4" t="s">
        <v>212</v>
      </c>
    </row>
    <row r="105" spans="1:14" x14ac:dyDescent="0.25">
      <c r="A105" s="2" t="s">
        <v>213</v>
      </c>
      <c r="B105" s="3" t="s">
        <v>37</v>
      </c>
      <c r="C105" s="3" t="s">
        <v>287</v>
      </c>
      <c r="D105" s="3" t="s">
        <v>288</v>
      </c>
      <c r="E105" s="3" t="s">
        <v>30</v>
      </c>
      <c r="F105" s="3" t="s">
        <v>23</v>
      </c>
      <c r="G105" s="24">
        <v>34306</v>
      </c>
      <c r="H105" s="3" t="str">
        <f>IF(Sheet1[[#This Row],[Salary]]&lt;40000,"Low Salary",IF(Sheet1[[#This Row],[Salary]]&lt;=70000,"Good Salary","High Salary"))</f>
        <v>Low Salary</v>
      </c>
      <c r="I105" s="13">
        <v>42785</v>
      </c>
      <c r="J105" s="32" t="s">
        <v>334</v>
      </c>
      <c r="K105" s="18">
        <f ca="1">DATEDIF(Sheet1[[#This Row],[Date of Joining]],TODAY(),"d")</f>
        <v>3375</v>
      </c>
      <c r="L105" s="3">
        <v>5</v>
      </c>
      <c r="M105" s="3" t="s">
        <v>32</v>
      </c>
      <c r="N105" s="4" t="s">
        <v>148</v>
      </c>
    </row>
    <row r="106" spans="1:14" x14ac:dyDescent="0.25">
      <c r="A106" s="2" t="s">
        <v>214</v>
      </c>
      <c r="B106" s="3" t="s">
        <v>12</v>
      </c>
      <c r="C106" s="3" t="s">
        <v>277</v>
      </c>
      <c r="D106" s="3" t="s">
        <v>278</v>
      </c>
      <c r="E106" s="3" t="s">
        <v>9</v>
      </c>
      <c r="F106" s="3" t="s">
        <v>31</v>
      </c>
      <c r="G106" s="24">
        <v>78330</v>
      </c>
      <c r="H106" s="3" t="str">
        <f>IF(Sheet1[[#This Row],[Salary]]&lt;40000,"Low Salary",IF(Sheet1[[#This Row],[Salary]]&lt;=70000,"Good Salary","High Salary"))</f>
        <v>High Salary</v>
      </c>
      <c r="I106" s="13">
        <v>42792</v>
      </c>
      <c r="J106" s="32" t="s">
        <v>334</v>
      </c>
      <c r="K106" s="18">
        <f ca="1">DATEDIF(Sheet1[[#This Row],[Date of Joining]],TODAY(),"d")</f>
        <v>3368</v>
      </c>
      <c r="L106" s="3">
        <v>3</v>
      </c>
      <c r="M106" s="3" t="s">
        <v>15</v>
      </c>
      <c r="N106" s="4" t="s">
        <v>196</v>
      </c>
    </row>
    <row r="107" spans="1:14" x14ac:dyDescent="0.25">
      <c r="A107" s="2" t="s">
        <v>215</v>
      </c>
      <c r="B107" s="3" t="s">
        <v>18</v>
      </c>
      <c r="C107" s="3" t="s">
        <v>279</v>
      </c>
      <c r="D107" s="3" t="s">
        <v>280</v>
      </c>
      <c r="E107" s="3" t="s">
        <v>30</v>
      </c>
      <c r="F107" s="3" t="s">
        <v>23</v>
      </c>
      <c r="G107" s="24">
        <v>47653</v>
      </c>
      <c r="H107" s="3" t="str">
        <f>IF(Sheet1[[#This Row],[Salary]]&lt;40000,"Low Salary",IF(Sheet1[[#This Row],[Salary]]&lt;=70000,"Good Salary","High Salary"))</f>
        <v>Good Salary</v>
      </c>
      <c r="I107" s="13">
        <v>42799</v>
      </c>
      <c r="J107" s="32" t="s">
        <v>333</v>
      </c>
      <c r="K107" s="18">
        <f ca="1">DATEDIF(Sheet1[[#This Row],[Date of Joining]],TODAY(),"d")</f>
        <v>3361</v>
      </c>
      <c r="L107" s="3">
        <v>1</v>
      </c>
      <c r="M107" s="3" t="s">
        <v>24</v>
      </c>
      <c r="N107" s="4" t="s">
        <v>216</v>
      </c>
    </row>
    <row r="108" spans="1:14" x14ac:dyDescent="0.25">
      <c r="A108" s="2" t="s">
        <v>217</v>
      </c>
      <c r="B108" s="3" t="s">
        <v>12</v>
      </c>
      <c r="C108" s="3" t="s">
        <v>277</v>
      </c>
      <c r="D108" s="3" t="s">
        <v>278</v>
      </c>
      <c r="E108" s="3" t="s">
        <v>38</v>
      </c>
      <c r="F108" s="3" t="s">
        <v>43</v>
      </c>
      <c r="G108" s="24">
        <v>44627</v>
      </c>
      <c r="H108" s="3" t="str">
        <f>IF(Sheet1[[#This Row],[Salary]]&lt;40000,"Low Salary",IF(Sheet1[[#This Row],[Salary]]&lt;=70000,"Good Salary","High Salary"))</f>
        <v>Good Salary</v>
      </c>
      <c r="I108" s="13">
        <v>42806</v>
      </c>
      <c r="J108" s="32" t="s">
        <v>333</v>
      </c>
      <c r="K108" s="18">
        <f ca="1">DATEDIF(Sheet1[[#This Row],[Date of Joining]],TODAY(),"d")</f>
        <v>3354</v>
      </c>
      <c r="L108" s="3">
        <v>4</v>
      </c>
      <c r="M108" s="3" t="s">
        <v>276</v>
      </c>
      <c r="N108" s="4" t="s">
        <v>140</v>
      </c>
    </row>
    <row r="109" spans="1:14" x14ac:dyDescent="0.25">
      <c r="A109" s="2" t="s">
        <v>218</v>
      </c>
      <c r="B109" s="3" t="s">
        <v>50</v>
      </c>
      <c r="C109" s="3" t="s">
        <v>289</v>
      </c>
      <c r="D109" s="3" t="s">
        <v>290</v>
      </c>
      <c r="E109" s="3" t="s">
        <v>13</v>
      </c>
      <c r="F109" s="3" t="s">
        <v>14</v>
      </c>
      <c r="G109" s="24">
        <v>92343</v>
      </c>
      <c r="H109" s="3" t="str">
        <f>IF(Sheet1[[#This Row],[Salary]]&lt;40000,"Low Salary",IF(Sheet1[[#This Row],[Salary]]&lt;=70000,"Good Salary","High Salary"))</f>
        <v>High Salary</v>
      </c>
      <c r="I109" s="13">
        <v>42813</v>
      </c>
      <c r="J109" s="32" t="s">
        <v>333</v>
      </c>
      <c r="K109" s="18">
        <f ca="1">DATEDIF(Sheet1[[#This Row],[Date of Joining]],TODAY(),"d")</f>
        <v>3347</v>
      </c>
      <c r="L109" s="3">
        <v>4</v>
      </c>
      <c r="M109" s="3" t="s">
        <v>32</v>
      </c>
      <c r="N109" s="4" t="s">
        <v>72</v>
      </c>
    </row>
    <row r="110" spans="1:14" x14ac:dyDescent="0.25">
      <c r="A110" s="2" t="s">
        <v>219</v>
      </c>
      <c r="B110" s="3" t="s">
        <v>50</v>
      </c>
      <c r="C110" s="3" t="s">
        <v>289</v>
      </c>
      <c r="D110" s="3" t="s">
        <v>290</v>
      </c>
      <c r="E110" s="3" t="s">
        <v>38</v>
      </c>
      <c r="F110" s="3" t="s">
        <v>59</v>
      </c>
      <c r="G110" s="24">
        <v>38837</v>
      </c>
      <c r="H110" s="3" t="str">
        <f>IF(Sheet1[[#This Row],[Salary]]&lt;40000,"Low Salary",IF(Sheet1[[#This Row],[Salary]]&lt;=70000,"Good Salary","High Salary"))</f>
        <v>Low Salary</v>
      </c>
      <c r="I110" s="13">
        <v>42820</v>
      </c>
      <c r="J110" s="32" t="s">
        <v>333</v>
      </c>
      <c r="K110" s="18">
        <f ca="1">DATEDIF(Sheet1[[#This Row],[Date of Joining]],TODAY(),"d")</f>
        <v>3340</v>
      </c>
      <c r="L110" s="3">
        <v>5</v>
      </c>
      <c r="M110" s="3" t="s">
        <v>32</v>
      </c>
      <c r="N110" s="4" t="s">
        <v>148</v>
      </c>
    </row>
    <row r="111" spans="1:14" x14ac:dyDescent="0.25">
      <c r="A111" s="2" t="s">
        <v>220</v>
      </c>
      <c r="B111" s="3" t="s">
        <v>50</v>
      </c>
      <c r="C111" s="3" t="s">
        <v>289</v>
      </c>
      <c r="D111" s="3" t="s">
        <v>290</v>
      </c>
      <c r="E111" s="3" t="s">
        <v>38</v>
      </c>
      <c r="F111" s="3" t="s">
        <v>31</v>
      </c>
      <c r="G111" s="24">
        <v>73483</v>
      </c>
      <c r="H111" s="3" t="str">
        <f>IF(Sheet1[[#This Row],[Salary]]&lt;40000,"Low Salary",IF(Sheet1[[#This Row],[Salary]]&lt;=70000,"Good Salary","High Salary"))</f>
        <v>High Salary</v>
      </c>
      <c r="I111" s="13">
        <v>42827</v>
      </c>
      <c r="J111" s="32" t="s">
        <v>324</v>
      </c>
      <c r="K111" s="18">
        <f ca="1">DATEDIF(Sheet1[[#This Row],[Date of Joining]],TODAY(),"d")</f>
        <v>3333</v>
      </c>
      <c r="L111" s="3">
        <v>1</v>
      </c>
      <c r="M111" s="3" t="s">
        <v>276</v>
      </c>
      <c r="N111" s="4" t="s">
        <v>221</v>
      </c>
    </row>
    <row r="112" spans="1:14" x14ac:dyDescent="0.25">
      <c r="A112" s="2" t="s">
        <v>222</v>
      </c>
      <c r="B112" s="3" t="s">
        <v>37</v>
      </c>
      <c r="C112" s="3" t="s">
        <v>287</v>
      </c>
      <c r="D112" s="3" t="s">
        <v>288</v>
      </c>
      <c r="E112" s="3" t="s">
        <v>22</v>
      </c>
      <c r="F112" s="3" t="s">
        <v>31</v>
      </c>
      <c r="G112" s="24">
        <v>95032</v>
      </c>
      <c r="H112" s="3" t="str">
        <f>IF(Sheet1[[#This Row],[Salary]]&lt;40000,"Low Salary",IF(Sheet1[[#This Row],[Salary]]&lt;=70000,"Good Salary","High Salary"))</f>
        <v>High Salary</v>
      </c>
      <c r="I112" s="13">
        <v>42834</v>
      </c>
      <c r="J112" s="32" t="s">
        <v>324</v>
      </c>
      <c r="K112" s="18">
        <f ca="1">DATEDIF(Sheet1[[#This Row],[Date of Joining]],TODAY(),"d")</f>
        <v>3326</v>
      </c>
      <c r="L112" s="3">
        <v>3</v>
      </c>
      <c r="M112" s="3" t="s">
        <v>276</v>
      </c>
      <c r="N112" s="4" t="s">
        <v>223</v>
      </c>
    </row>
    <row r="113" spans="1:14" x14ac:dyDescent="0.25">
      <c r="A113" s="2" t="s">
        <v>224</v>
      </c>
      <c r="B113" s="3" t="s">
        <v>12</v>
      </c>
      <c r="C113" s="3" t="s">
        <v>277</v>
      </c>
      <c r="D113" s="3" t="s">
        <v>278</v>
      </c>
      <c r="E113" s="3" t="s">
        <v>22</v>
      </c>
      <c r="F113" s="3" t="s">
        <v>59</v>
      </c>
      <c r="G113" s="24">
        <v>44358</v>
      </c>
      <c r="H113" s="3" t="str">
        <f>IF(Sheet1[[#This Row],[Salary]]&lt;40000,"Low Salary",IF(Sheet1[[#This Row],[Salary]]&lt;=70000,"Good Salary","High Salary"))</f>
        <v>Good Salary</v>
      </c>
      <c r="I113" s="13">
        <v>42841</v>
      </c>
      <c r="J113" s="32" t="s">
        <v>324</v>
      </c>
      <c r="K113" s="18">
        <f ca="1">DATEDIF(Sheet1[[#This Row],[Date of Joining]],TODAY(),"d")</f>
        <v>3319</v>
      </c>
      <c r="L113" s="3">
        <v>3</v>
      </c>
      <c r="M113" s="3" t="s">
        <v>32</v>
      </c>
      <c r="N113" s="4" t="s">
        <v>66</v>
      </c>
    </row>
    <row r="114" spans="1:14" x14ac:dyDescent="0.25">
      <c r="A114" s="2" t="s">
        <v>225</v>
      </c>
      <c r="B114" s="3" t="s">
        <v>37</v>
      </c>
      <c r="C114" s="3" t="s">
        <v>287</v>
      </c>
      <c r="D114" s="3" t="s">
        <v>288</v>
      </c>
      <c r="E114" s="3" t="s">
        <v>22</v>
      </c>
      <c r="F114" s="3" t="s">
        <v>23</v>
      </c>
      <c r="G114" s="24">
        <v>45676</v>
      </c>
      <c r="H114" s="3" t="str">
        <f>IF(Sheet1[[#This Row],[Salary]]&lt;40000,"Low Salary",IF(Sheet1[[#This Row],[Salary]]&lt;=70000,"Good Salary","High Salary"))</f>
        <v>Good Salary</v>
      </c>
      <c r="I114" s="13">
        <v>42855</v>
      </c>
      <c r="J114" s="32" t="s">
        <v>324</v>
      </c>
      <c r="K114" s="18">
        <f ca="1">DATEDIF(Sheet1[[#This Row],[Date of Joining]],TODAY(),"d")</f>
        <v>3305</v>
      </c>
      <c r="L114" s="3">
        <v>2</v>
      </c>
      <c r="M114" s="3" t="s">
        <v>276</v>
      </c>
      <c r="N114" s="4" t="s">
        <v>226</v>
      </c>
    </row>
    <row r="115" spans="1:14" x14ac:dyDescent="0.25">
      <c r="A115" s="2" t="s">
        <v>227</v>
      </c>
      <c r="B115" s="3" t="s">
        <v>50</v>
      </c>
      <c r="C115" s="3" t="s">
        <v>289</v>
      </c>
      <c r="D115" s="3" t="s">
        <v>290</v>
      </c>
      <c r="E115" s="3" t="s">
        <v>22</v>
      </c>
      <c r="F115" s="3" t="s">
        <v>14</v>
      </c>
      <c r="G115" s="24">
        <v>52036</v>
      </c>
      <c r="H115" s="3" t="str">
        <f>IF(Sheet1[[#This Row],[Salary]]&lt;40000,"Low Salary",IF(Sheet1[[#This Row],[Salary]]&lt;=70000,"Good Salary","High Salary"))</f>
        <v>Good Salary</v>
      </c>
      <c r="I115" s="13">
        <v>42862</v>
      </c>
      <c r="J115" s="32" t="s">
        <v>325</v>
      </c>
      <c r="K115" s="18">
        <f ca="1">DATEDIF(Sheet1[[#This Row],[Date of Joining]],TODAY(),"d")</f>
        <v>3298</v>
      </c>
      <c r="L115" s="3">
        <v>3</v>
      </c>
      <c r="M115" s="3" t="s">
        <v>24</v>
      </c>
      <c r="N115" s="4" t="s">
        <v>228</v>
      </c>
    </row>
    <row r="116" spans="1:14" x14ac:dyDescent="0.25">
      <c r="A116" s="2" t="s">
        <v>229</v>
      </c>
      <c r="B116" s="3" t="s">
        <v>27</v>
      </c>
      <c r="C116" s="3" t="s">
        <v>283</v>
      </c>
      <c r="D116" s="3" t="s">
        <v>284</v>
      </c>
      <c r="E116" s="3" t="s">
        <v>38</v>
      </c>
      <c r="F116" s="3" t="s">
        <v>14</v>
      </c>
      <c r="G116" s="24">
        <v>30357</v>
      </c>
      <c r="H116" s="3" t="str">
        <f>IF(Sheet1[[#This Row],[Salary]]&lt;40000,"Low Salary",IF(Sheet1[[#This Row],[Salary]]&lt;=70000,"Good Salary","High Salary"))</f>
        <v>Low Salary</v>
      </c>
      <c r="I116" s="13">
        <v>42869</v>
      </c>
      <c r="J116" s="32" t="s">
        <v>325</v>
      </c>
      <c r="K116" s="18">
        <f ca="1">DATEDIF(Sheet1[[#This Row],[Date of Joining]],TODAY(),"d")</f>
        <v>3291</v>
      </c>
      <c r="L116" s="3">
        <v>5</v>
      </c>
      <c r="M116" s="3" t="s">
        <v>24</v>
      </c>
      <c r="N116" s="4" t="s">
        <v>171</v>
      </c>
    </row>
    <row r="117" spans="1:14" x14ac:dyDescent="0.25">
      <c r="A117" s="2" t="s">
        <v>230</v>
      </c>
      <c r="B117" s="3" t="s">
        <v>21</v>
      </c>
      <c r="C117" s="3" t="s">
        <v>281</v>
      </c>
      <c r="D117" s="3" t="s">
        <v>282</v>
      </c>
      <c r="E117" s="3" t="s">
        <v>30</v>
      </c>
      <c r="F117" s="3" t="s">
        <v>31</v>
      </c>
      <c r="G117" s="24">
        <v>60034</v>
      </c>
      <c r="H117" s="3" t="str">
        <f>IF(Sheet1[[#This Row],[Salary]]&lt;40000,"Low Salary",IF(Sheet1[[#This Row],[Salary]]&lt;=70000,"Good Salary","High Salary"))</f>
        <v>Good Salary</v>
      </c>
      <c r="I117" s="13">
        <v>42876</v>
      </c>
      <c r="J117" s="32" t="s">
        <v>325</v>
      </c>
      <c r="K117" s="18">
        <f ca="1">DATEDIF(Sheet1[[#This Row],[Date of Joining]],TODAY(),"d")</f>
        <v>3284</v>
      </c>
      <c r="L117" s="3">
        <v>1</v>
      </c>
      <c r="M117" s="3" t="s">
        <v>32</v>
      </c>
      <c r="N117" s="4" t="s">
        <v>231</v>
      </c>
    </row>
    <row r="118" spans="1:14" x14ac:dyDescent="0.25">
      <c r="A118" s="2" t="s">
        <v>232</v>
      </c>
      <c r="B118" s="3" t="s">
        <v>21</v>
      </c>
      <c r="C118" s="3" t="s">
        <v>281</v>
      </c>
      <c r="D118" s="3" t="s">
        <v>282</v>
      </c>
      <c r="E118" s="3" t="s">
        <v>9</v>
      </c>
      <c r="F118" s="3" t="s">
        <v>31</v>
      </c>
      <c r="G118" s="24">
        <v>90019</v>
      </c>
      <c r="H118" s="3" t="str">
        <f>IF(Sheet1[[#This Row],[Salary]]&lt;40000,"Low Salary",IF(Sheet1[[#This Row],[Salary]]&lt;=70000,"Good Salary","High Salary"))</f>
        <v>High Salary</v>
      </c>
      <c r="I118" s="13">
        <v>42883</v>
      </c>
      <c r="J118" s="32" t="s">
        <v>325</v>
      </c>
      <c r="K118" s="18">
        <f ca="1">DATEDIF(Sheet1[[#This Row],[Date of Joining]],TODAY(),"d")</f>
        <v>3277</v>
      </c>
      <c r="L118" s="3">
        <v>5</v>
      </c>
      <c r="M118" s="3" t="s">
        <v>276</v>
      </c>
      <c r="N118" s="4" t="s">
        <v>233</v>
      </c>
    </row>
    <row r="119" spans="1:14" x14ac:dyDescent="0.25">
      <c r="A119" s="2" t="s">
        <v>234</v>
      </c>
      <c r="B119" s="3" t="s">
        <v>50</v>
      </c>
      <c r="C119" s="3" t="s">
        <v>289</v>
      </c>
      <c r="D119" s="3" t="s">
        <v>290</v>
      </c>
      <c r="E119" s="3" t="s">
        <v>38</v>
      </c>
      <c r="F119" s="3" t="s">
        <v>14</v>
      </c>
      <c r="G119" s="24">
        <v>71494</v>
      </c>
      <c r="H119" s="3" t="str">
        <f>IF(Sheet1[[#This Row],[Salary]]&lt;40000,"Low Salary",IF(Sheet1[[#This Row],[Salary]]&lt;=70000,"Good Salary","High Salary"))</f>
        <v>High Salary</v>
      </c>
      <c r="I119" s="13">
        <v>42890</v>
      </c>
      <c r="J119" s="32" t="s">
        <v>326</v>
      </c>
      <c r="K119" s="18">
        <f ca="1">DATEDIF(Sheet1[[#This Row],[Date of Joining]],TODAY(),"d")</f>
        <v>3270</v>
      </c>
      <c r="L119" s="3">
        <v>3</v>
      </c>
      <c r="M119" s="3" t="s">
        <v>24</v>
      </c>
      <c r="N119" s="4" t="s">
        <v>235</v>
      </c>
    </row>
    <row r="120" spans="1:14" x14ac:dyDescent="0.25">
      <c r="A120" s="2" t="s">
        <v>236</v>
      </c>
      <c r="B120" s="3" t="s">
        <v>21</v>
      </c>
      <c r="C120" s="3" t="s">
        <v>281</v>
      </c>
      <c r="D120" s="3" t="s">
        <v>282</v>
      </c>
      <c r="E120" s="3" t="s">
        <v>9</v>
      </c>
      <c r="F120" s="3" t="s">
        <v>23</v>
      </c>
      <c r="G120" s="24">
        <v>91953</v>
      </c>
      <c r="H120" s="3" t="str">
        <f>IF(Sheet1[[#This Row],[Salary]]&lt;40000,"Low Salary",IF(Sheet1[[#This Row],[Salary]]&lt;=70000,"Good Salary","High Salary"))</f>
        <v>High Salary</v>
      </c>
      <c r="I120" s="13">
        <v>42897</v>
      </c>
      <c r="J120" s="32" t="s">
        <v>326</v>
      </c>
      <c r="K120" s="18">
        <f ca="1">DATEDIF(Sheet1[[#This Row],[Date of Joining]],TODAY(),"d")</f>
        <v>3263</v>
      </c>
      <c r="L120" s="3">
        <v>2</v>
      </c>
      <c r="M120" s="3" t="s">
        <v>24</v>
      </c>
      <c r="N120" s="4" t="s">
        <v>84</v>
      </c>
    </row>
    <row r="121" spans="1:14" x14ac:dyDescent="0.25">
      <c r="A121" s="2" t="s">
        <v>237</v>
      </c>
      <c r="B121" s="3" t="s">
        <v>37</v>
      </c>
      <c r="C121" s="3" t="s">
        <v>287</v>
      </c>
      <c r="D121" s="3" t="s">
        <v>288</v>
      </c>
      <c r="E121" s="3" t="s">
        <v>22</v>
      </c>
      <c r="F121" s="3" t="s">
        <v>23</v>
      </c>
      <c r="G121" s="24">
        <v>30402</v>
      </c>
      <c r="H121" s="3" t="str">
        <f>IF(Sheet1[[#This Row],[Salary]]&lt;40000,"Low Salary",IF(Sheet1[[#This Row],[Salary]]&lt;=70000,"Good Salary","High Salary"))</f>
        <v>Low Salary</v>
      </c>
      <c r="I121" s="13">
        <v>42904</v>
      </c>
      <c r="J121" s="32" t="s">
        <v>326</v>
      </c>
      <c r="K121" s="18">
        <f ca="1">DATEDIF(Sheet1[[#This Row],[Date of Joining]],TODAY(),"d")</f>
        <v>3256</v>
      </c>
      <c r="L121" s="3">
        <v>1</v>
      </c>
      <c r="M121" s="3" t="s">
        <v>276</v>
      </c>
      <c r="N121" s="4" t="s">
        <v>238</v>
      </c>
    </row>
    <row r="122" spans="1:14" x14ac:dyDescent="0.25">
      <c r="A122" s="2" t="s">
        <v>239</v>
      </c>
      <c r="B122" s="3" t="s">
        <v>50</v>
      </c>
      <c r="C122" s="3" t="s">
        <v>289</v>
      </c>
      <c r="D122" s="3" t="s">
        <v>290</v>
      </c>
      <c r="E122" s="3" t="s">
        <v>38</v>
      </c>
      <c r="F122" s="3" t="s">
        <v>43</v>
      </c>
      <c r="G122" s="24">
        <v>62994</v>
      </c>
      <c r="H122" s="3" t="str">
        <f>IF(Sheet1[[#This Row],[Salary]]&lt;40000,"Low Salary",IF(Sheet1[[#This Row],[Salary]]&lt;=70000,"Good Salary","High Salary"))</f>
        <v>Good Salary</v>
      </c>
      <c r="I122" s="13">
        <v>42911</v>
      </c>
      <c r="J122" s="32" t="s">
        <v>326</v>
      </c>
      <c r="K122" s="18">
        <f ca="1">DATEDIF(Sheet1[[#This Row],[Date of Joining]],TODAY(),"d")</f>
        <v>3249</v>
      </c>
      <c r="L122" s="3">
        <v>3</v>
      </c>
      <c r="M122" s="3" t="s">
        <v>276</v>
      </c>
      <c r="N122" s="4" t="s">
        <v>107</v>
      </c>
    </row>
    <row r="123" spans="1:14" x14ac:dyDescent="0.25">
      <c r="A123" s="2" t="s">
        <v>240</v>
      </c>
      <c r="B123" s="3" t="s">
        <v>18</v>
      </c>
      <c r="C123" s="3" t="s">
        <v>279</v>
      </c>
      <c r="D123" s="3" t="s">
        <v>280</v>
      </c>
      <c r="E123" s="3" t="s">
        <v>22</v>
      </c>
      <c r="F123" s="3" t="s">
        <v>31</v>
      </c>
      <c r="G123" s="24">
        <v>48289</v>
      </c>
      <c r="H123" s="3" t="str">
        <f>IF(Sheet1[[#This Row],[Salary]]&lt;40000,"Low Salary",IF(Sheet1[[#This Row],[Salary]]&lt;=70000,"Good Salary","High Salary"))</f>
        <v>Good Salary</v>
      </c>
      <c r="I123" s="13">
        <v>42917</v>
      </c>
      <c r="J123" s="32" t="s">
        <v>327</v>
      </c>
      <c r="K123" s="18">
        <f ca="1">DATEDIF(Sheet1[[#This Row],[Date of Joining]],TODAY(),"d")</f>
        <v>3243</v>
      </c>
      <c r="L123" s="3">
        <v>3</v>
      </c>
      <c r="M123" s="3" t="s">
        <v>24</v>
      </c>
      <c r="N123" s="4" t="s">
        <v>41</v>
      </c>
    </row>
    <row r="124" spans="1:14" x14ac:dyDescent="0.25">
      <c r="A124" s="2" t="s">
        <v>241</v>
      </c>
      <c r="B124" s="3" t="s">
        <v>35</v>
      </c>
      <c r="C124" s="3" t="s">
        <v>285</v>
      </c>
      <c r="D124" s="3" t="s">
        <v>286</v>
      </c>
      <c r="E124" s="3" t="s">
        <v>38</v>
      </c>
      <c r="F124" s="3" t="s">
        <v>14</v>
      </c>
      <c r="G124" s="24">
        <v>34402</v>
      </c>
      <c r="H124" s="3" t="str">
        <f>IF(Sheet1[[#This Row],[Salary]]&lt;40000,"Low Salary",IF(Sheet1[[#This Row],[Salary]]&lt;=70000,"Good Salary","High Salary"))</f>
        <v>Low Salary</v>
      </c>
      <c r="I124" s="13">
        <v>42925</v>
      </c>
      <c r="J124" s="32" t="s">
        <v>327</v>
      </c>
      <c r="K124" s="18">
        <f ca="1">DATEDIF(Sheet1[[#This Row],[Date of Joining]],TODAY(),"d")</f>
        <v>3235</v>
      </c>
      <c r="L124" s="3">
        <v>3</v>
      </c>
      <c r="M124" s="3" t="s">
        <v>15</v>
      </c>
      <c r="N124" s="4" t="s">
        <v>101</v>
      </c>
    </row>
    <row r="125" spans="1:14" x14ac:dyDescent="0.25">
      <c r="A125" s="2" t="s">
        <v>242</v>
      </c>
      <c r="B125" s="3" t="s">
        <v>12</v>
      </c>
      <c r="C125" s="3" t="s">
        <v>277</v>
      </c>
      <c r="D125" s="3" t="s">
        <v>278</v>
      </c>
      <c r="E125" s="3" t="s">
        <v>13</v>
      </c>
      <c r="F125" s="3" t="s">
        <v>23</v>
      </c>
      <c r="G125" s="24">
        <v>38678</v>
      </c>
      <c r="H125" s="3" t="str">
        <f>IF(Sheet1[[#This Row],[Salary]]&lt;40000,"Low Salary",IF(Sheet1[[#This Row],[Salary]]&lt;=70000,"Good Salary","High Salary"))</f>
        <v>Low Salary</v>
      </c>
      <c r="I125" s="13">
        <v>42932</v>
      </c>
      <c r="J125" s="32" t="s">
        <v>327</v>
      </c>
      <c r="K125" s="18">
        <f ca="1">DATEDIF(Sheet1[[#This Row],[Date of Joining]],TODAY(),"d")</f>
        <v>3228</v>
      </c>
      <c r="L125" s="3">
        <v>3</v>
      </c>
      <c r="M125" s="3" t="s">
        <v>15</v>
      </c>
      <c r="N125" s="4" t="s">
        <v>243</v>
      </c>
    </row>
    <row r="126" spans="1:14" x14ac:dyDescent="0.25">
      <c r="A126" s="2" t="s">
        <v>244</v>
      </c>
      <c r="B126" s="3" t="s">
        <v>37</v>
      </c>
      <c r="C126" s="3" t="s">
        <v>287</v>
      </c>
      <c r="D126" s="3" t="s">
        <v>288</v>
      </c>
      <c r="E126" s="3" t="s">
        <v>13</v>
      </c>
      <c r="F126" s="3" t="s">
        <v>14</v>
      </c>
      <c r="G126" s="24">
        <v>45758</v>
      </c>
      <c r="H126" s="3" t="str">
        <f>IF(Sheet1[[#This Row],[Salary]]&lt;40000,"Low Salary",IF(Sheet1[[#This Row],[Salary]]&lt;=70000,"Good Salary","High Salary"))</f>
        <v>Good Salary</v>
      </c>
      <c r="I126" s="13">
        <v>42939</v>
      </c>
      <c r="J126" s="32" t="s">
        <v>327</v>
      </c>
      <c r="K126" s="18">
        <f ca="1">DATEDIF(Sheet1[[#This Row],[Date of Joining]],TODAY(),"d")</f>
        <v>3221</v>
      </c>
      <c r="L126" s="3">
        <v>3</v>
      </c>
      <c r="M126" s="3" t="s">
        <v>276</v>
      </c>
      <c r="N126" s="4" t="s">
        <v>212</v>
      </c>
    </row>
    <row r="127" spans="1:14" x14ac:dyDescent="0.25">
      <c r="A127" s="2" t="s">
        <v>245</v>
      </c>
      <c r="B127" s="3" t="s">
        <v>12</v>
      </c>
      <c r="C127" s="3" t="s">
        <v>277</v>
      </c>
      <c r="D127" s="3" t="s">
        <v>278</v>
      </c>
      <c r="E127" s="3" t="s">
        <v>38</v>
      </c>
      <c r="F127" s="3" t="s">
        <v>31</v>
      </c>
      <c r="G127" s="24">
        <v>62476</v>
      </c>
      <c r="H127" s="3" t="str">
        <f>IF(Sheet1[[#This Row],[Salary]]&lt;40000,"Low Salary",IF(Sheet1[[#This Row],[Salary]]&lt;=70000,"Good Salary","High Salary"))</f>
        <v>Good Salary</v>
      </c>
      <c r="I127" s="13">
        <v>42946</v>
      </c>
      <c r="J127" s="32" t="s">
        <v>327</v>
      </c>
      <c r="K127" s="18">
        <f ca="1">DATEDIF(Sheet1[[#This Row],[Date of Joining]],TODAY(),"d")</f>
        <v>3214</v>
      </c>
      <c r="L127" s="3">
        <v>1</v>
      </c>
      <c r="M127" s="3" t="s">
        <v>15</v>
      </c>
      <c r="N127" s="4" t="s">
        <v>130</v>
      </c>
    </row>
    <row r="128" spans="1:14" x14ac:dyDescent="0.25">
      <c r="A128" s="2" t="s">
        <v>246</v>
      </c>
      <c r="B128" s="3" t="s">
        <v>27</v>
      </c>
      <c r="C128" s="3" t="s">
        <v>283</v>
      </c>
      <c r="D128" s="3" t="s">
        <v>284</v>
      </c>
      <c r="E128" s="3" t="s">
        <v>9</v>
      </c>
      <c r="F128" s="3" t="s">
        <v>31</v>
      </c>
      <c r="G128" s="24">
        <v>60335</v>
      </c>
      <c r="H128" s="3" t="str">
        <f>IF(Sheet1[[#This Row],[Salary]]&lt;40000,"Low Salary",IF(Sheet1[[#This Row],[Salary]]&lt;=70000,"Good Salary","High Salary"))</f>
        <v>Good Salary</v>
      </c>
      <c r="I128" s="13">
        <v>42960</v>
      </c>
      <c r="J128" s="32" t="s">
        <v>328</v>
      </c>
      <c r="K128" s="18">
        <f ca="1">DATEDIF(Sheet1[[#This Row],[Date of Joining]],TODAY(),"d")</f>
        <v>3200</v>
      </c>
      <c r="L128" s="3">
        <v>4</v>
      </c>
      <c r="M128" s="3" t="s">
        <v>15</v>
      </c>
      <c r="N128" s="4" t="s">
        <v>121</v>
      </c>
    </row>
    <row r="129" spans="1:14" x14ac:dyDescent="0.25">
      <c r="A129" s="2" t="s">
        <v>247</v>
      </c>
      <c r="B129" s="3" t="s">
        <v>37</v>
      </c>
      <c r="C129" s="3" t="s">
        <v>287</v>
      </c>
      <c r="D129" s="3" t="s">
        <v>288</v>
      </c>
      <c r="E129" s="3" t="s">
        <v>13</v>
      </c>
      <c r="F129" s="3" t="s">
        <v>14</v>
      </c>
      <c r="G129" s="24">
        <v>84968</v>
      </c>
      <c r="H129" s="3" t="str">
        <f>IF(Sheet1[[#This Row],[Salary]]&lt;40000,"Low Salary",IF(Sheet1[[#This Row],[Salary]]&lt;=70000,"Good Salary","High Salary"))</f>
        <v>High Salary</v>
      </c>
      <c r="I129" s="13">
        <v>42967</v>
      </c>
      <c r="J129" s="32" t="s">
        <v>328</v>
      </c>
      <c r="K129" s="18">
        <f ca="1">DATEDIF(Sheet1[[#This Row],[Date of Joining]],TODAY(),"d")</f>
        <v>3193</v>
      </c>
      <c r="L129" s="3">
        <v>3</v>
      </c>
      <c r="M129" s="3" t="s">
        <v>276</v>
      </c>
      <c r="N129" s="4" t="s">
        <v>248</v>
      </c>
    </row>
    <row r="130" spans="1:14" x14ac:dyDescent="0.25">
      <c r="A130" s="2" t="s">
        <v>249</v>
      </c>
      <c r="B130" s="3" t="s">
        <v>37</v>
      </c>
      <c r="C130" s="3" t="s">
        <v>287</v>
      </c>
      <c r="D130" s="3" t="s">
        <v>288</v>
      </c>
      <c r="E130" s="3" t="s">
        <v>38</v>
      </c>
      <c r="F130" s="3" t="s">
        <v>59</v>
      </c>
      <c r="G130" s="24">
        <v>84750</v>
      </c>
      <c r="H130" s="3" t="str">
        <f>IF(Sheet1[[#This Row],[Salary]]&lt;40000,"Low Salary",IF(Sheet1[[#This Row],[Salary]]&lt;=70000,"Good Salary","High Salary"))</f>
        <v>High Salary</v>
      </c>
      <c r="I130" s="13">
        <v>42974</v>
      </c>
      <c r="J130" s="32" t="s">
        <v>328</v>
      </c>
      <c r="K130" s="18">
        <f ca="1">DATEDIF(Sheet1[[#This Row],[Date of Joining]],TODAY(),"d")</f>
        <v>3186</v>
      </c>
      <c r="L130" s="3">
        <v>4</v>
      </c>
      <c r="M130" s="3" t="s">
        <v>32</v>
      </c>
      <c r="N130" s="4" t="s">
        <v>55</v>
      </c>
    </row>
    <row r="131" spans="1:14" x14ac:dyDescent="0.25">
      <c r="A131" s="2" t="s">
        <v>250</v>
      </c>
      <c r="B131" s="3" t="s">
        <v>50</v>
      </c>
      <c r="C131" s="3" t="s">
        <v>289</v>
      </c>
      <c r="D131" s="3" t="s">
        <v>290</v>
      </c>
      <c r="E131" s="3" t="s">
        <v>30</v>
      </c>
      <c r="F131" s="3" t="s">
        <v>31</v>
      </c>
      <c r="G131" s="24">
        <v>73348</v>
      </c>
      <c r="H131" s="3" t="str">
        <f>IF(Sheet1[[#This Row],[Salary]]&lt;40000,"Low Salary",IF(Sheet1[[#This Row],[Salary]]&lt;=70000,"Good Salary","High Salary"))</f>
        <v>High Salary</v>
      </c>
      <c r="I131" s="13">
        <v>42981</v>
      </c>
      <c r="J131" s="32" t="s">
        <v>329</v>
      </c>
      <c r="K131" s="18">
        <f ca="1">DATEDIF(Sheet1[[#This Row],[Date of Joining]],TODAY(),"d")</f>
        <v>3179</v>
      </c>
      <c r="L131" s="3">
        <v>2</v>
      </c>
      <c r="M131" s="3" t="s">
        <v>276</v>
      </c>
      <c r="N131" s="4" t="s">
        <v>160</v>
      </c>
    </row>
    <row r="132" spans="1:14" x14ac:dyDescent="0.25">
      <c r="A132" s="2" t="s">
        <v>251</v>
      </c>
      <c r="B132" s="3" t="s">
        <v>37</v>
      </c>
      <c r="C132" s="3" t="s">
        <v>287</v>
      </c>
      <c r="D132" s="3" t="s">
        <v>288</v>
      </c>
      <c r="E132" s="3" t="s">
        <v>22</v>
      </c>
      <c r="F132" s="3" t="s">
        <v>23</v>
      </c>
      <c r="G132" s="25">
        <v>65882</v>
      </c>
      <c r="H132" s="3" t="str">
        <f>IF(Sheet1[[#This Row],[Salary]]&lt;40000,"Low Salary",IF(Sheet1[[#This Row],[Salary]]&lt;=70000,"Good Salary","High Salary"))</f>
        <v>Good Salary</v>
      </c>
      <c r="I132" s="13">
        <v>42988</v>
      </c>
      <c r="J132" s="32" t="s">
        <v>329</v>
      </c>
      <c r="K132" s="18">
        <f ca="1">DATEDIF(Sheet1[[#This Row],[Date of Joining]],TODAY(),"d")</f>
        <v>3172</v>
      </c>
      <c r="L132" s="3">
        <v>4</v>
      </c>
      <c r="M132" s="3" t="s">
        <v>15</v>
      </c>
      <c r="N132" s="4" t="s">
        <v>10</v>
      </c>
    </row>
    <row r="133" spans="1:14" x14ac:dyDescent="0.25">
      <c r="A133" s="2" t="s">
        <v>252</v>
      </c>
      <c r="B133" s="3" t="s">
        <v>27</v>
      </c>
      <c r="C133" s="3" t="s">
        <v>283</v>
      </c>
      <c r="D133" s="3" t="s">
        <v>284</v>
      </c>
      <c r="E133" s="3" t="s">
        <v>38</v>
      </c>
      <c r="F133" s="3" t="s">
        <v>23</v>
      </c>
      <c r="G133" s="24">
        <v>66882</v>
      </c>
      <c r="H133" s="3" t="str">
        <f>IF(Sheet1[[#This Row],[Salary]]&lt;40000,"Low Salary",IF(Sheet1[[#This Row],[Salary]]&lt;=70000,"Good Salary","High Salary"))</f>
        <v>Good Salary</v>
      </c>
      <c r="I133" s="13">
        <v>42995</v>
      </c>
      <c r="J133" s="32" t="s">
        <v>329</v>
      </c>
      <c r="K133" s="18">
        <f ca="1">DATEDIF(Sheet1[[#This Row],[Date of Joining]],TODAY(),"d")</f>
        <v>3165</v>
      </c>
      <c r="L133" s="3">
        <v>5</v>
      </c>
      <c r="M133" s="3" t="s">
        <v>15</v>
      </c>
      <c r="N133" s="4" t="s">
        <v>80</v>
      </c>
    </row>
    <row r="134" spans="1:14" x14ac:dyDescent="0.25">
      <c r="A134" s="2" t="s">
        <v>253</v>
      </c>
      <c r="B134" s="3" t="s">
        <v>18</v>
      </c>
      <c r="C134" s="3" t="s">
        <v>279</v>
      </c>
      <c r="D134" s="3" t="s">
        <v>280</v>
      </c>
      <c r="E134" s="3" t="s">
        <v>38</v>
      </c>
      <c r="F134" s="3" t="s">
        <v>31</v>
      </c>
      <c r="G134" s="24">
        <v>86775</v>
      </c>
      <c r="H134" s="3" t="str">
        <f>IF(Sheet1[[#This Row],[Salary]]&lt;40000,"Low Salary",IF(Sheet1[[#This Row],[Salary]]&lt;=70000,"Good Salary","High Salary"))</f>
        <v>High Salary</v>
      </c>
      <c r="I134" s="13">
        <v>43002</v>
      </c>
      <c r="J134" s="32" t="s">
        <v>329</v>
      </c>
      <c r="K134" s="18">
        <f ca="1">DATEDIF(Sheet1[[#This Row],[Date of Joining]],TODAY(),"d")</f>
        <v>3158</v>
      </c>
      <c r="L134" s="3">
        <v>3</v>
      </c>
      <c r="M134" s="3" t="s">
        <v>15</v>
      </c>
      <c r="N134" s="4" t="s">
        <v>88</v>
      </c>
    </row>
    <row r="135" spans="1:14" x14ac:dyDescent="0.25">
      <c r="A135" s="2" t="s">
        <v>254</v>
      </c>
      <c r="B135" s="3" t="s">
        <v>37</v>
      </c>
      <c r="C135" s="3" t="s">
        <v>287</v>
      </c>
      <c r="D135" s="3" t="s">
        <v>288</v>
      </c>
      <c r="E135" s="3" t="s">
        <v>22</v>
      </c>
      <c r="F135" s="3" t="s">
        <v>43</v>
      </c>
      <c r="G135" s="24">
        <v>91620</v>
      </c>
      <c r="H135" s="3" t="str">
        <f>IF(Sheet1[[#This Row],[Salary]]&lt;40000,"Low Salary",IF(Sheet1[[#This Row],[Salary]]&lt;=70000,"Good Salary","High Salary"))</f>
        <v>High Salary</v>
      </c>
      <c r="I135" s="13">
        <v>43009</v>
      </c>
      <c r="J135" s="32" t="s">
        <v>330</v>
      </c>
      <c r="K135" s="18">
        <f ca="1">DATEDIF(Sheet1[[#This Row],[Date of Joining]],TODAY(),"d")</f>
        <v>3151</v>
      </c>
      <c r="L135" s="3">
        <v>3</v>
      </c>
      <c r="M135" s="3" t="s">
        <v>276</v>
      </c>
      <c r="N135" s="4" t="s">
        <v>255</v>
      </c>
    </row>
    <row r="136" spans="1:14" x14ac:dyDescent="0.25">
      <c r="A136" s="2" t="s">
        <v>256</v>
      </c>
      <c r="B136" s="3" t="s">
        <v>12</v>
      </c>
      <c r="C136" s="3" t="s">
        <v>277</v>
      </c>
      <c r="D136" s="3" t="s">
        <v>278</v>
      </c>
      <c r="E136" s="3" t="s">
        <v>38</v>
      </c>
      <c r="F136" s="3" t="s">
        <v>31</v>
      </c>
      <c r="G136" s="24">
        <v>94148</v>
      </c>
      <c r="H136" s="3" t="str">
        <f>IF(Sheet1[[#This Row],[Salary]]&lt;40000,"Low Salary",IF(Sheet1[[#This Row],[Salary]]&lt;=70000,"Good Salary","High Salary"))</f>
        <v>High Salary</v>
      </c>
      <c r="I136" s="13">
        <v>43016</v>
      </c>
      <c r="J136" s="32" t="s">
        <v>330</v>
      </c>
      <c r="K136" s="18">
        <f ca="1">DATEDIF(Sheet1[[#This Row],[Date of Joining]],TODAY(),"d")</f>
        <v>3144</v>
      </c>
      <c r="L136" s="3">
        <v>2</v>
      </c>
      <c r="M136" s="3" t="s">
        <v>276</v>
      </c>
      <c r="N136" s="4" t="s">
        <v>257</v>
      </c>
    </row>
    <row r="137" spans="1:14" x14ac:dyDescent="0.25">
      <c r="A137" s="2" t="s">
        <v>258</v>
      </c>
      <c r="B137" s="3" t="s">
        <v>35</v>
      </c>
      <c r="C137" s="3" t="s">
        <v>285</v>
      </c>
      <c r="D137" s="3" t="s">
        <v>286</v>
      </c>
      <c r="E137" s="3" t="s">
        <v>22</v>
      </c>
      <c r="F137" s="3" t="s">
        <v>59</v>
      </c>
      <c r="G137" s="24">
        <v>35627</v>
      </c>
      <c r="H137" s="3" t="str">
        <f>IF(Sheet1[[#This Row],[Salary]]&lt;40000,"Low Salary",IF(Sheet1[[#This Row],[Salary]]&lt;=70000,"Good Salary","High Salary"))</f>
        <v>Low Salary</v>
      </c>
      <c r="I137" s="13">
        <v>43023</v>
      </c>
      <c r="J137" s="32" t="s">
        <v>330</v>
      </c>
      <c r="K137" s="18">
        <f ca="1">DATEDIF(Sheet1[[#This Row],[Date of Joining]],TODAY(),"d")</f>
        <v>3137</v>
      </c>
      <c r="L137" s="3">
        <v>5</v>
      </c>
      <c r="M137" s="3" t="s">
        <v>32</v>
      </c>
      <c r="N137" s="4" t="s">
        <v>243</v>
      </c>
    </row>
    <row r="138" spans="1:14" x14ac:dyDescent="0.25">
      <c r="A138" s="2" t="s">
        <v>259</v>
      </c>
      <c r="B138" s="3" t="s">
        <v>21</v>
      </c>
      <c r="C138" s="3" t="s">
        <v>281</v>
      </c>
      <c r="D138" s="3" t="s">
        <v>282</v>
      </c>
      <c r="E138" s="3" t="s">
        <v>38</v>
      </c>
      <c r="F138" s="3" t="s">
        <v>23</v>
      </c>
      <c r="G138" s="24">
        <v>57141</v>
      </c>
      <c r="H138" s="3" t="str">
        <f>IF(Sheet1[[#This Row],[Salary]]&lt;40000,"Low Salary",IF(Sheet1[[#This Row],[Salary]]&lt;=70000,"Good Salary","High Salary"))</f>
        <v>Good Salary</v>
      </c>
      <c r="I138" s="13">
        <v>43030</v>
      </c>
      <c r="J138" s="32" t="s">
        <v>330</v>
      </c>
      <c r="K138" s="18">
        <f ca="1">DATEDIF(Sheet1[[#This Row],[Date of Joining]],TODAY(),"d")</f>
        <v>3130</v>
      </c>
      <c r="L138" s="3">
        <v>2</v>
      </c>
      <c r="M138" s="3" t="s">
        <v>276</v>
      </c>
      <c r="N138" s="4" t="s">
        <v>248</v>
      </c>
    </row>
    <row r="139" spans="1:14" x14ac:dyDescent="0.25">
      <c r="A139" s="2" t="s">
        <v>260</v>
      </c>
      <c r="B139" s="3" t="s">
        <v>50</v>
      </c>
      <c r="C139" s="3" t="s">
        <v>289</v>
      </c>
      <c r="D139" s="3" t="s">
        <v>290</v>
      </c>
      <c r="E139" s="3" t="s">
        <v>22</v>
      </c>
      <c r="F139" s="3" t="s">
        <v>59</v>
      </c>
      <c r="G139" s="24">
        <v>65270</v>
      </c>
      <c r="H139" s="3" t="str">
        <f>IF(Sheet1[[#This Row],[Salary]]&lt;40000,"Low Salary",IF(Sheet1[[#This Row],[Salary]]&lt;=70000,"Good Salary","High Salary"))</f>
        <v>Good Salary</v>
      </c>
      <c r="I139" s="13">
        <v>43037</v>
      </c>
      <c r="J139" s="32" t="s">
        <v>330</v>
      </c>
      <c r="K139" s="18">
        <f ca="1">DATEDIF(Sheet1[[#This Row],[Date of Joining]],TODAY(),"d")</f>
        <v>3123</v>
      </c>
      <c r="L139" s="3">
        <v>1</v>
      </c>
      <c r="M139" s="3" t="s">
        <v>276</v>
      </c>
      <c r="N139" s="4" t="s">
        <v>261</v>
      </c>
    </row>
    <row r="140" spans="1:14" x14ac:dyDescent="0.25">
      <c r="A140" s="2" t="s">
        <v>262</v>
      </c>
      <c r="B140" s="3" t="s">
        <v>50</v>
      </c>
      <c r="C140" s="3" t="s">
        <v>289</v>
      </c>
      <c r="D140" s="3" t="s">
        <v>290</v>
      </c>
      <c r="E140" s="3" t="s">
        <v>38</v>
      </c>
      <c r="F140" s="3" t="s">
        <v>43</v>
      </c>
      <c r="G140" s="24">
        <v>67335</v>
      </c>
      <c r="H140" s="3" t="str">
        <f>IF(Sheet1[[#This Row],[Salary]]&lt;40000,"Low Salary",IF(Sheet1[[#This Row],[Salary]]&lt;=70000,"Good Salary","High Salary"))</f>
        <v>Good Salary</v>
      </c>
      <c r="I140" s="13">
        <v>43044</v>
      </c>
      <c r="J140" s="32" t="s">
        <v>331</v>
      </c>
      <c r="K140" s="18">
        <f ca="1">DATEDIF(Sheet1[[#This Row],[Date of Joining]],TODAY(),"d")</f>
        <v>3116</v>
      </c>
      <c r="L140" s="3">
        <v>1</v>
      </c>
      <c r="M140" s="3" t="s">
        <v>15</v>
      </c>
      <c r="N140" s="4" t="s">
        <v>135</v>
      </c>
    </row>
    <row r="141" spans="1:14" x14ac:dyDescent="0.25">
      <c r="A141" s="5" t="s">
        <v>263</v>
      </c>
      <c r="B141" s="6" t="s">
        <v>35</v>
      </c>
      <c r="C141" s="6" t="s">
        <v>285</v>
      </c>
      <c r="D141" s="6" t="s">
        <v>286</v>
      </c>
      <c r="E141" s="6" t="s">
        <v>38</v>
      </c>
      <c r="F141" s="6" t="s">
        <v>31</v>
      </c>
      <c r="G141" s="26">
        <v>98475</v>
      </c>
      <c r="H141" s="6" t="str">
        <f>IF(Sheet1[[#This Row],[Salary]]&lt;40000,"Low Salary",IF(Sheet1[[#This Row],[Salary]]&lt;=70000,"Good Salary","High Salary"))</f>
        <v>High Salary</v>
      </c>
      <c r="I141" s="15">
        <v>43051</v>
      </c>
      <c r="J141" s="32" t="s">
        <v>331</v>
      </c>
      <c r="K141" s="19">
        <f ca="1">DATEDIF(Sheet1[[#This Row],[Date of Joining]],TODAY(),"d")</f>
        <v>3109</v>
      </c>
      <c r="L141" s="6">
        <v>5</v>
      </c>
      <c r="M141" s="6" t="s">
        <v>15</v>
      </c>
      <c r="N141" s="7" t="s">
        <v>264</v>
      </c>
    </row>
  </sheetData>
  <phoneticPr fontId="6"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E58273-9389-4B1C-87F3-7244E8E8133A}">
  <dimension ref="A1:M141"/>
  <sheetViews>
    <sheetView workbookViewId="0">
      <selection activeCell="O19" sqref="O19"/>
    </sheetView>
  </sheetViews>
  <sheetFormatPr defaultRowHeight="15" x14ac:dyDescent="0.25"/>
  <cols>
    <col min="1" max="1" width="14.7109375" bestFit="1" customWidth="1"/>
    <col min="2" max="2" width="12.42578125" customWidth="1"/>
    <col min="3" max="3" width="13" customWidth="1"/>
    <col min="4" max="4" width="16" customWidth="1"/>
    <col min="5" max="5" width="14.42578125" customWidth="1"/>
    <col min="8" max="8" width="16" customWidth="1"/>
    <col min="9" max="9" width="17.140625" customWidth="1"/>
    <col min="10" max="10" width="27.85546875" customWidth="1"/>
    <col min="11" max="11" width="23.28515625" customWidth="1"/>
    <col min="13" max="13" width="21.7109375" customWidth="1"/>
  </cols>
  <sheetData>
    <row r="1" spans="1:13" x14ac:dyDescent="0.25">
      <c r="A1" s="20" t="s">
        <v>0</v>
      </c>
      <c r="B1" s="20" t="s">
        <v>1</v>
      </c>
      <c r="C1" s="20" t="s">
        <v>292</v>
      </c>
      <c r="D1" s="20" t="s">
        <v>291</v>
      </c>
      <c r="E1" s="20" t="s">
        <v>2</v>
      </c>
      <c r="F1" s="20" t="s">
        <v>3</v>
      </c>
      <c r="G1" s="20" t="s">
        <v>4</v>
      </c>
      <c r="H1" s="20" t="s">
        <v>271</v>
      </c>
      <c r="I1" s="21" t="s">
        <v>5</v>
      </c>
      <c r="J1" s="22" t="s">
        <v>310</v>
      </c>
      <c r="K1" s="20" t="s">
        <v>6</v>
      </c>
      <c r="L1" s="20" t="s">
        <v>7</v>
      </c>
      <c r="M1" s="20" t="s">
        <v>8</v>
      </c>
    </row>
    <row r="2" spans="1:13" x14ac:dyDescent="0.25">
      <c r="A2" s="3" t="s">
        <v>11</v>
      </c>
      <c r="B2" s="3" t="str">
        <f>VLOOKUP($A2,'Employee Details'!$A$1:$N$141,2,0)</f>
        <v>Eve Adams</v>
      </c>
      <c r="C2" s="3" t="str">
        <f>VLOOKUP($A2,'Employee Details'!$A$1:$N$141,3,0)</f>
        <v>Eve</v>
      </c>
      <c r="D2" s="3" t="str">
        <f>VLOOKUP($A2,'Employee Details'!$A$1:$N$141,4,0)</f>
        <v>Adams</v>
      </c>
      <c r="E2" s="3" t="str">
        <f>VLOOKUP($A2,'Employee Details'!$A$1:$N$141,5,0)</f>
        <v>HR</v>
      </c>
      <c r="F2" s="3" t="str">
        <f>VLOOKUP($A2,'Employee Details'!$A$1:$N$141,6,0)</f>
        <v>Germany</v>
      </c>
      <c r="G2" s="3">
        <f>VLOOKUP($A2,'Employee Details'!$A$1:$N$141,7,0)</f>
        <v>54255</v>
      </c>
      <c r="H2" s="3" t="str">
        <f>VLOOKUP($A2,'Employee Details'!$A$1:$N$141,8,0)</f>
        <v>Good Salary</v>
      </c>
      <c r="I2" s="13">
        <f>VLOOKUP($A2,'Employee Details'!$A$1:$N$141,9,0)</f>
        <v>42015</v>
      </c>
      <c r="J2" s="3" t="str">
        <f>VLOOKUP($A2,'Employee Details'!$A$1:$N$141,10,0)</f>
        <v>January</v>
      </c>
      <c r="K2" s="3">
        <f ca="1">VLOOKUP($A2,'Employee Details'!$A$1:$N$141,11,0)</f>
        <v>4145</v>
      </c>
      <c r="L2" s="3">
        <f>VLOOKUP($A2,'Employee Details'!$A$1:$N$141,12,0)</f>
        <v>1</v>
      </c>
      <c r="M2" s="3" t="str">
        <f>VLOOKUP($A2,'Employee Details'!$A$1:$N$141,13,0)</f>
        <v>Other</v>
      </c>
    </row>
    <row r="3" spans="1:13" x14ac:dyDescent="0.25">
      <c r="A3" s="3" t="s">
        <v>17</v>
      </c>
      <c r="B3" s="3" t="str">
        <f>VLOOKUP($A3,'Employee Details'!$A$1:$N$141,2,0)</f>
        <v>Alice Brown</v>
      </c>
      <c r="C3" s="3" t="str">
        <f>VLOOKUP($A3,'Employee Details'!$A$1:$N$141,3,0)</f>
        <v>Alice</v>
      </c>
      <c r="D3" s="3" t="str">
        <f>VLOOKUP($A3,'Employee Details'!$A$1:$N$141,4,0)</f>
        <v>Brown</v>
      </c>
      <c r="E3" s="3" t="str">
        <f>VLOOKUP($A3,'Employee Details'!$A$1:$N$141,5,0)</f>
        <v>Finance</v>
      </c>
      <c r="F3" s="3" t="str">
        <f>VLOOKUP($A3,'Employee Details'!$A$1:$N$141,6,0)</f>
        <v>Germany</v>
      </c>
      <c r="G3" s="3">
        <f>VLOOKUP($A3,'Employee Details'!$A$1:$N$141,7,0)</f>
        <v>63184</v>
      </c>
      <c r="H3" s="3" t="str">
        <f>VLOOKUP($A3,'Employee Details'!$A$1:$N$141,8,0)</f>
        <v>Good Salary</v>
      </c>
      <c r="I3" s="13">
        <f>VLOOKUP($A3,'Employee Details'!$A$1:$N$141,9,0)</f>
        <v>42022</v>
      </c>
      <c r="J3" s="3" t="str">
        <f>VLOOKUP($A3,'Employee Details'!$A$1:$N$141,10,0)</f>
        <v>January</v>
      </c>
      <c r="K3" s="3">
        <f ca="1">VLOOKUP($A3,'Employee Details'!$A$1:$N$141,11,0)</f>
        <v>4138</v>
      </c>
      <c r="L3" s="3">
        <f>VLOOKUP($A3,'Employee Details'!$A$1:$N$141,12,0)</f>
        <v>2</v>
      </c>
      <c r="M3" s="3" t="str">
        <f>VLOOKUP($A3,'Employee Details'!$A$1:$N$141,13,0)</f>
        <v>Not Specified</v>
      </c>
    </row>
    <row r="4" spans="1:13" x14ac:dyDescent="0.25">
      <c r="A4" s="3" t="s">
        <v>20</v>
      </c>
      <c r="B4" s="3" t="str">
        <f>VLOOKUP($A4,'Employee Details'!$A$1:$N$141,2,0)</f>
        <v>John Doe</v>
      </c>
      <c r="C4" s="3" t="str">
        <f>VLOOKUP($A4,'Employee Details'!$A$1:$N$141,3,0)</f>
        <v>John</v>
      </c>
      <c r="D4" s="3" t="str">
        <f>VLOOKUP($A4,'Employee Details'!$A$1:$N$141,4,0)</f>
        <v>Doe</v>
      </c>
      <c r="E4" s="3" t="str">
        <f>VLOOKUP($A4,'Employee Details'!$A$1:$N$141,5,0)</f>
        <v>Sales</v>
      </c>
      <c r="F4" s="3" t="str">
        <f>VLOOKUP($A4,'Employee Details'!$A$1:$N$141,6,0)</f>
        <v>USA</v>
      </c>
      <c r="G4" s="3">
        <f>VLOOKUP($A4,'Employee Details'!$A$1:$N$141,7,0)</f>
        <v>94406</v>
      </c>
      <c r="H4" s="3" t="str">
        <f>VLOOKUP($A4,'Employee Details'!$A$1:$N$141,8,0)</f>
        <v>High Salary</v>
      </c>
      <c r="I4" s="13">
        <f>VLOOKUP($A4,'Employee Details'!$A$1:$N$141,9,0)</f>
        <v>42029</v>
      </c>
      <c r="J4" s="3" t="str">
        <f>VLOOKUP($A4,'Employee Details'!$A$1:$N$141,10,0)</f>
        <v>January</v>
      </c>
      <c r="K4" s="3">
        <f ca="1">VLOOKUP($A4,'Employee Details'!$A$1:$N$141,11,0)</f>
        <v>4131</v>
      </c>
      <c r="L4" s="3">
        <f>VLOOKUP($A4,'Employee Details'!$A$1:$N$141,12,0)</f>
        <v>1</v>
      </c>
      <c r="M4" s="3" t="str">
        <f>VLOOKUP($A4,'Employee Details'!$A$1:$N$141,13,0)</f>
        <v>Male</v>
      </c>
    </row>
    <row r="5" spans="1:13" x14ac:dyDescent="0.25">
      <c r="A5" s="3" t="s">
        <v>26</v>
      </c>
      <c r="B5" s="3" t="str">
        <f>VLOOKUP($A5,'Employee Details'!$A$1:$N$141,2,0)</f>
        <v>Jane Smith</v>
      </c>
      <c r="C5" s="3" t="str">
        <f>VLOOKUP($A5,'Employee Details'!$A$1:$N$141,3,0)</f>
        <v>Jane</v>
      </c>
      <c r="D5" s="3" t="str">
        <f>VLOOKUP($A5,'Employee Details'!$A$1:$N$141,4,0)</f>
        <v>Smith</v>
      </c>
      <c r="E5" s="3" t="str">
        <f>VLOOKUP($A5,'Employee Details'!$A$1:$N$141,5,0)</f>
        <v>Sales</v>
      </c>
      <c r="F5" s="3" t="str">
        <f>VLOOKUP($A5,'Employee Details'!$A$1:$N$141,6,0)</f>
        <v>Germany</v>
      </c>
      <c r="G5" s="3">
        <f>VLOOKUP($A5,'Employee Details'!$A$1:$N$141,7,0)</f>
        <v>64120</v>
      </c>
      <c r="H5" s="3" t="str">
        <f>VLOOKUP($A5,'Employee Details'!$A$1:$N$141,8,0)</f>
        <v>Good Salary</v>
      </c>
      <c r="I5" s="13">
        <f>VLOOKUP($A5,'Employee Details'!$A$1:$N$141,9,0)</f>
        <v>42036</v>
      </c>
      <c r="J5" s="3" t="str">
        <f>VLOOKUP($A5,'Employee Details'!$A$1:$N$141,10,0)</f>
        <v>February</v>
      </c>
      <c r="K5" s="3">
        <f ca="1">VLOOKUP($A5,'Employee Details'!$A$1:$N$141,11,0)</f>
        <v>4124</v>
      </c>
      <c r="L5" s="3">
        <f>VLOOKUP($A5,'Employee Details'!$A$1:$N$141,12,0)</f>
        <v>1</v>
      </c>
      <c r="M5" s="3" t="str">
        <f>VLOOKUP($A5,'Employee Details'!$A$1:$N$141,13,0)</f>
        <v>Male</v>
      </c>
    </row>
    <row r="6" spans="1:13" x14ac:dyDescent="0.25">
      <c r="A6" s="3" t="s">
        <v>29</v>
      </c>
      <c r="B6" s="3" t="str">
        <f>VLOOKUP($A6,'Employee Details'!$A$1:$N$141,2,0)</f>
        <v>Alice Brown</v>
      </c>
      <c r="C6" s="3" t="str">
        <f>VLOOKUP($A6,'Employee Details'!$A$1:$N$141,3,0)</f>
        <v>Alice</v>
      </c>
      <c r="D6" s="3" t="str">
        <f>VLOOKUP($A6,'Employee Details'!$A$1:$N$141,4,0)</f>
        <v>Brown</v>
      </c>
      <c r="E6" s="3" t="str">
        <f>VLOOKUP($A6,'Employee Details'!$A$1:$N$141,5,0)</f>
        <v>IT</v>
      </c>
      <c r="F6" s="3" t="str">
        <f>VLOOKUP($A6,'Employee Details'!$A$1:$N$141,6,0)</f>
        <v>India</v>
      </c>
      <c r="G6" s="3">
        <f>VLOOKUP($A6,'Employee Details'!$A$1:$N$141,7,0)</f>
        <v>78421</v>
      </c>
      <c r="H6" s="3" t="str">
        <f>VLOOKUP($A6,'Employee Details'!$A$1:$N$141,8,0)</f>
        <v>High Salary</v>
      </c>
      <c r="I6" s="13">
        <f>VLOOKUP($A6,'Employee Details'!$A$1:$N$141,9,0)</f>
        <v>42043</v>
      </c>
      <c r="J6" s="3" t="str">
        <f>VLOOKUP($A6,'Employee Details'!$A$1:$N$141,10,0)</f>
        <v>February</v>
      </c>
      <c r="K6" s="3">
        <f ca="1">VLOOKUP($A6,'Employee Details'!$A$1:$N$141,11,0)</f>
        <v>4117</v>
      </c>
      <c r="L6" s="3">
        <f>VLOOKUP($A6,'Employee Details'!$A$1:$N$141,12,0)</f>
        <v>2</v>
      </c>
      <c r="M6" s="3" t="str">
        <f>VLOOKUP($A6,'Employee Details'!$A$1:$N$141,13,0)</f>
        <v>Female</v>
      </c>
    </row>
    <row r="7" spans="1:13" x14ac:dyDescent="0.25">
      <c r="A7" s="3" t="s">
        <v>34</v>
      </c>
      <c r="B7" s="3" t="str">
        <f>VLOOKUP($A7,'Employee Details'!$A$1:$N$141,2,0)</f>
        <v>Sam Wilson</v>
      </c>
      <c r="C7" s="3" t="str">
        <f>VLOOKUP($A7,'Employee Details'!$A$1:$N$141,3,0)</f>
        <v>Sam</v>
      </c>
      <c r="D7" s="3" t="str">
        <f>VLOOKUP($A7,'Employee Details'!$A$1:$N$141,4,0)</f>
        <v>Wilson</v>
      </c>
      <c r="E7" s="3" t="str">
        <f>VLOOKUP($A7,'Employee Details'!$A$1:$N$141,5,0)</f>
        <v>Sales</v>
      </c>
      <c r="F7" s="3" t="str">
        <f>VLOOKUP($A7,'Employee Details'!$A$1:$N$141,6,0)</f>
        <v>India</v>
      </c>
      <c r="G7" s="3">
        <f>VLOOKUP($A7,'Employee Details'!$A$1:$N$141,7,0)</f>
        <v>67721</v>
      </c>
      <c r="H7" s="3" t="str">
        <f>VLOOKUP($A7,'Employee Details'!$A$1:$N$141,8,0)</f>
        <v>Good Salary</v>
      </c>
      <c r="I7" s="13">
        <f>VLOOKUP($A7,'Employee Details'!$A$1:$N$141,9,0)</f>
        <v>42050</v>
      </c>
      <c r="J7" s="3" t="str">
        <f>VLOOKUP($A7,'Employee Details'!$A$1:$N$141,10,0)</f>
        <v>February</v>
      </c>
      <c r="K7" s="3">
        <f ca="1">VLOOKUP($A7,'Employee Details'!$A$1:$N$141,11,0)</f>
        <v>4110</v>
      </c>
      <c r="L7" s="3">
        <f>VLOOKUP($A7,'Employee Details'!$A$1:$N$141,12,0)</f>
        <v>3</v>
      </c>
      <c r="M7" s="3" t="str">
        <f>VLOOKUP($A7,'Employee Details'!$A$1:$N$141,13,0)</f>
        <v>Male</v>
      </c>
    </row>
    <row r="8" spans="1:13" x14ac:dyDescent="0.25">
      <c r="A8" s="3" t="s">
        <v>36</v>
      </c>
      <c r="B8" s="3" t="str">
        <f>VLOOKUP($A8,'Employee Details'!$A$1:$N$141,2,0)</f>
        <v>Chris Lee</v>
      </c>
      <c r="C8" s="3" t="str">
        <f>VLOOKUP($A8,'Employee Details'!$A$1:$N$141,3,0)</f>
        <v>Chris</v>
      </c>
      <c r="D8" s="3" t="str">
        <f>VLOOKUP($A8,'Employee Details'!$A$1:$N$141,4,0)</f>
        <v>Lee</v>
      </c>
      <c r="E8" s="3" t="str">
        <f>VLOOKUP($A8,'Employee Details'!$A$1:$N$141,5,0)</f>
        <v>Marketing</v>
      </c>
      <c r="F8" s="3" t="str">
        <f>VLOOKUP($A8,'Employee Details'!$A$1:$N$141,6,0)</f>
        <v>India</v>
      </c>
      <c r="G8" s="3">
        <f>VLOOKUP($A8,'Employee Details'!$A$1:$N$141,7,0)</f>
        <v>35364</v>
      </c>
      <c r="H8" s="3" t="str">
        <f>VLOOKUP($A8,'Employee Details'!$A$1:$N$141,8,0)</f>
        <v>Low Salary</v>
      </c>
      <c r="I8" s="13">
        <f>VLOOKUP($A8,'Employee Details'!$A$1:$N$141,9,0)</f>
        <v>42057</v>
      </c>
      <c r="J8" s="3" t="str">
        <f>VLOOKUP($A8,'Employee Details'!$A$1:$N$141,10,0)</f>
        <v>February</v>
      </c>
      <c r="K8" s="3">
        <f ca="1">VLOOKUP($A8,'Employee Details'!$A$1:$N$141,11,0)</f>
        <v>4103</v>
      </c>
      <c r="L8" s="3">
        <f>VLOOKUP($A8,'Employee Details'!$A$1:$N$141,12,0)</f>
        <v>2</v>
      </c>
      <c r="M8" s="3" t="str">
        <f>VLOOKUP($A8,'Employee Details'!$A$1:$N$141,13,0)</f>
        <v>Other</v>
      </c>
    </row>
    <row r="9" spans="1:13" x14ac:dyDescent="0.25">
      <c r="A9" s="3" t="s">
        <v>40</v>
      </c>
      <c r="B9" s="3" t="str">
        <f>VLOOKUP($A9,'Employee Details'!$A$1:$N$141,2,0)</f>
        <v>Alice Brown</v>
      </c>
      <c r="C9" s="3" t="str">
        <f>VLOOKUP($A9,'Employee Details'!$A$1:$N$141,3,0)</f>
        <v>Alice</v>
      </c>
      <c r="D9" s="3" t="str">
        <f>VLOOKUP($A9,'Employee Details'!$A$1:$N$141,4,0)</f>
        <v>Brown</v>
      </c>
      <c r="E9" s="3" t="str">
        <f>VLOOKUP($A9,'Employee Details'!$A$1:$N$141,5,0)</f>
        <v>IT</v>
      </c>
      <c r="F9" s="3" t="str">
        <f>VLOOKUP($A9,'Employee Details'!$A$1:$N$141,6,0)</f>
        <v>Germany</v>
      </c>
      <c r="G9" s="3">
        <f>VLOOKUP($A9,'Employee Details'!$A$1:$N$141,7,0)</f>
        <v>97881</v>
      </c>
      <c r="H9" s="3" t="str">
        <f>VLOOKUP($A9,'Employee Details'!$A$1:$N$141,8,0)</f>
        <v>High Salary</v>
      </c>
      <c r="I9" s="13">
        <f>VLOOKUP($A9,'Employee Details'!$A$1:$N$141,9,0)</f>
        <v>42064</v>
      </c>
      <c r="J9" s="3" t="str">
        <f>VLOOKUP($A9,'Employee Details'!$A$1:$N$141,10,0)</f>
        <v>March</v>
      </c>
      <c r="K9" s="3">
        <f ca="1">VLOOKUP($A9,'Employee Details'!$A$1:$N$141,11,0)</f>
        <v>4096</v>
      </c>
      <c r="L9" s="3">
        <f>VLOOKUP($A9,'Employee Details'!$A$1:$N$141,12,0)</f>
        <v>3</v>
      </c>
      <c r="M9" s="3" t="str">
        <f>VLOOKUP($A9,'Employee Details'!$A$1:$N$141,13,0)</f>
        <v>Female</v>
      </c>
    </row>
    <row r="10" spans="1:13" x14ac:dyDescent="0.25">
      <c r="A10" s="3" t="s">
        <v>42</v>
      </c>
      <c r="B10" s="3" t="str">
        <f>VLOOKUP($A10,'Employee Details'!$A$1:$N$141,2,0)</f>
        <v>Chris Lee</v>
      </c>
      <c r="C10" s="3" t="str">
        <f>VLOOKUP($A10,'Employee Details'!$A$1:$N$141,3,0)</f>
        <v>Chris</v>
      </c>
      <c r="D10" s="3" t="str">
        <f>VLOOKUP($A10,'Employee Details'!$A$1:$N$141,4,0)</f>
        <v>Lee</v>
      </c>
      <c r="E10" s="3" t="str">
        <f>VLOOKUP($A10,'Employee Details'!$A$1:$N$141,5,0)</f>
        <v>HR</v>
      </c>
      <c r="F10" s="3" t="str">
        <f>VLOOKUP($A10,'Employee Details'!$A$1:$N$141,6,0)</f>
        <v>UK</v>
      </c>
      <c r="G10" s="3">
        <f>VLOOKUP($A10,'Employee Details'!$A$1:$N$141,7,0)</f>
        <v>91846</v>
      </c>
      <c r="H10" s="3" t="str">
        <f>VLOOKUP($A10,'Employee Details'!$A$1:$N$141,8,0)</f>
        <v>High Salary</v>
      </c>
      <c r="I10" s="13">
        <f>VLOOKUP($A10,'Employee Details'!$A$1:$N$141,9,0)</f>
        <v>42071</v>
      </c>
      <c r="J10" s="3" t="str">
        <f>VLOOKUP($A10,'Employee Details'!$A$1:$N$141,10,0)</f>
        <v>March</v>
      </c>
      <c r="K10" s="3">
        <f ca="1">VLOOKUP($A10,'Employee Details'!$A$1:$N$141,11,0)</f>
        <v>4089</v>
      </c>
      <c r="L10" s="3">
        <f>VLOOKUP($A10,'Employee Details'!$A$1:$N$141,12,0)</f>
        <v>3</v>
      </c>
      <c r="M10" s="3" t="str">
        <f>VLOOKUP($A10,'Employee Details'!$A$1:$N$141,13,0)</f>
        <v>Male</v>
      </c>
    </row>
    <row r="11" spans="1:13" x14ac:dyDescent="0.25">
      <c r="A11" s="3" t="s">
        <v>45</v>
      </c>
      <c r="B11" s="3" t="str">
        <f>VLOOKUP($A11,'Employee Details'!$A$1:$N$141,2,0)</f>
        <v>Sam Wilson</v>
      </c>
      <c r="C11" s="3" t="str">
        <f>VLOOKUP($A11,'Employee Details'!$A$1:$N$141,3,0)</f>
        <v>Sam</v>
      </c>
      <c r="D11" s="3" t="str">
        <f>VLOOKUP($A11,'Employee Details'!$A$1:$N$141,4,0)</f>
        <v>Wilson</v>
      </c>
      <c r="E11" s="3" t="str">
        <f>VLOOKUP($A11,'Employee Details'!$A$1:$N$141,5,0)</f>
        <v>Finance</v>
      </c>
      <c r="F11" s="3" t="str">
        <f>VLOOKUP($A11,'Employee Details'!$A$1:$N$141,6,0)</f>
        <v>UK</v>
      </c>
      <c r="G11" s="3">
        <f>VLOOKUP($A11,'Employee Details'!$A$1:$N$141,7,0)</f>
        <v>64247</v>
      </c>
      <c r="H11" s="3" t="str">
        <f>VLOOKUP($A11,'Employee Details'!$A$1:$N$141,8,0)</f>
        <v>Good Salary</v>
      </c>
      <c r="I11" s="13">
        <f>VLOOKUP($A11,'Employee Details'!$A$1:$N$141,9,0)</f>
        <v>42078</v>
      </c>
      <c r="J11" s="3" t="str">
        <f>VLOOKUP($A11,'Employee Details'!$A$1:$N$141,10,0)</f>
        <v>March</v>
      </c>
      <c r="K11" s="3">
        <f ca="1">VLOOKUP($A11,'Employee Details'!$A$1:$N$141,11,0)</f>
        <v>4082</v>
      </c>
      <c r="L11" s="3">
        <f>VLOOKUP($A11,'Employee Details'!$A$1:$N$141,12,0)</f>
        <v>1</v>
      </c>
      <c r="M11" s="3" t="str">
        <f>VLOOKUP($A11,'Employee Details'!$A$1:$N$141,13,0)</f>
        <v>Female</v>
      </c>
    </row>
    <row r="12" spans="1:13" x14ac:dyDescent="0.25">
      <c r="A12" s="3" t="s">
        <v>47</v>
      </c>
      <c r="B12" s="3" t="str">
        <f>VLOOKUP($A12,'Employee Details'!$A$1:$N$141,2,0)</f>
        <v>Sam Wilson</v>
      </c>
      <c r="C12" s="3" t="str">
        <f>VLOOKUP($A12,'Employee Details'!$A$1:$N$141,3,0)</f>
        <v>Sam</v>
      </c>
      <c r="D12" s="3" t="str">
        <f>VLOOKUP($A12,'Employee Details'!$A$1:$N$141,4,0)</f>
        <v>Wilson</v>
      </c>
      <c r="E12" s="3" t="str">
        <f>VLOOKUP($A12,'Employee Details'!$A$1:$N$141,5,0)</f>
        <v>IT</v>
      </c>
      <c r="F12" s="3" t="str">
        <f>VLOOKUP($A12,'Employee Details'!$A$1:$N$141,6,0)</f>
        <v>USA</v>
      </c>
      <c r="G12" s="3">
        <f>VLOOKUP($A12,'Employee Details'!$A$1:$N$141,7,0)</f>
        <v>91180</v>
      </c>
      <c r="H12" s="3" t="str">
        <f>VLOOKUP($A12,'Employee Details'!$A$1:$N$141,8,0)</f>
        <v>High Salary</v>
      </c>
      <c r="I12" s="13">
        <f>VLOOKUP($A12,'Employee Details'!$A$1:$N$141,9,0)</f>
        <v>42085</v>
      </c>
      <c r="J12" s="3" t="str">
        <f>VLOOKUP($A12,'Employee Details'!$A$1:$N$141,10,0)</f>
        <v>March</v>
      </c>
      <c r="K12" s="3">
        <f ca="1">VLOOKUP($A12,'Employee Details'!$A$1:$N$141,11,0)</f>
        <v>4075</v>
      </c>
      <c r="L12" s="3">
        <f>VLOOKUP($A12,'Employee Details'!$A$1:$N$141,12,0)</f>
        <v>5</v>
      </c>
      <c r="M12" s="3" t="str">
        <f>VLOOKUP($A12,'Employee Details'!$A$1:$N$141,13,0)</f>
        <v>Male</v>
      </c>
    </row>
    <row r="13" spans="1:13" x14ac:dyDescent="0.25">
      <c r="A13" s="3" t="s">
        <v>49</v>
      </c>
      <c r="B13" s="3" t="str">
        <f>VLOOKUP($A13,'Employee Details'!$A$1:$N$141,2,0)</f>
        <v>Bob Johnson</v>
      </c>
      <c r="C13" s="3" t="str">
        <f>VLOOKUP($A13,'Employee Details'!$A$1:$N$141,3,0)</f>
        <v>Bob</v>
      </c>
      <c r="D13" s="3" t="str">
        <f>VLOOKUP($A13,'Employee Details'!$A$1:$N$141,4,0)</f>
        <v>Johnson</v>
      </c>
      <c r="E13" s="3" t="str">
        <f>VLOOKUP($A13,'Employee Details'!$A$1:$N$141,5,0)</f>
        <v>Sales</v>
      </c>
      <c r="F13" s="3" t="str">
        <f>VLOOKUP($A13,'Employee Details'!$A$1:$N$141,6,0)</f>
        <v>India</v>
      </c>
      <c r="G13" s="3">
        <f>VLOOKUP($A13,'Employee Details'!$A$1:$N$141,7,0)</f>
        <v>96418</v>
      </c>
      <c r="H13" s="3" t="str">
        <f>VLOOKUP($A13,'Employee Details'!$A$1:$N$141,8,0)</f>
        <v>High Salary</v>
      </c>
      <c r="I13" s="13">
        <f>VLOOKUP($A13,'Employee Details'!$A$1:$N$141,9,0)</f>
        <v>42092</v>
      </c>
      <c r="J13" s="3" t="str">
        <f>VLOOKUP($A13,'Employee Details'!$A$1:$N$141,10,0)</f>
        <v>March</v>
      </c>
      <c r="K13" s="3">
        <f ca="1">VLOOKUP($A13,'Employee Details'!$A$1:$N$141,11,0)</f>
        <v>4068</v>
      </c>
      <c r="L13" s="3">
        <f>VLOOKUP($A13,'Employee Details'!$A$1:$N$141,12,0)</f>
        <v>5</v>
      </c>
      <c r="M13" s="3" t="str">
        <f>VLOOKUP($A13,'Employee Details'!$A$1:$N$141,13,0)</f>
        <v>Male</v>
      </c>
    </row>
    <row r="14" spans="1:13" x14ac:dyDescent="0.25">
      <c r="A14" s="3" t="s">
        <v>51</v>
      </c>
      <c r="B14" s="3" t="str">
        <f>VLOOKUP($A14,'Employee Details'!$A$1:$N$141,2,0)</f>
        <v>Sam Wilson</v>
      </c>
      <c r="C14" s="3" t="str">
        <f>VLOOKUP($A14,'Employee Details'!$A$1:$N$141,3,0)</f>
        <v>Sam</v>
      </c>
      <c r="D14" s="3" t="str">
        <f>VLOOKUP($A14,'Employee Details'!$A$1:$N$141,4,0)</f>
        <v>Wilson</v>
      </c>
      <c r="E14" s="3" t="str">
        <f>VLOOKUP($A14,'Employee Details'!$A$1:$N$141,5,0)</f>
        <v>Marketing</v>
      </c>
      <c r="F14" s="3" t="str">
        <f>VLOOKUP($A14,'Employee Details'!$A$1:$N$141,6,0)</f>
        <v>India</v>
      </c>
      <c r="G14" s="3">
        <f>VLOOKUP($A14,'Employee Details'!$A$1:$N$141,7,0)</f>
        <v>62158</v>
      </c>
      <c r="H14" s="3" t="str">
        <f>VLOOKUP($A14,'Employee Details'!$A$1:$N$141,8,0)</f>
        <v>Good Salary</v>
      </c>
      <c r="I14" s="13">
        <f>VLOOKUP($A14,'Employee Details'!$A$1:$N$141,9,0)</f>
        <v>42099</v>
      </c>
      <c r="J14" s="3" t="str">
        <f>VLOOKUP($A14,'Employee Details'!$A$1:$N$141,10,0)</f>
        <v>April</v>
      </c>
      <c r="K14" s="3">
        <f ca="1">VLOOKUP($A14,'Employee Details'!$A$1:$N$141,11,0)</f>
        <v>4061</v>
      </c>
      <c r="L14" s="3">
        <f>VLOOKUP($A14,'Employee Details'!$A$1:$N$141,12,0)</f>
        <v>4</v>
      </c>
      <c r="M14" s="3" t="str">
        <f>VLOOKUP($A14,'Employee Details'!$A$1:$N$141,13,0)</f>
        <v>Not Specified</v>
      </c>
    </row>
    <row r="15" spans="1:13" x14ac:dyDescent="0.25">
      <c r="A15" s="3" t="s">
        <v>53</v>
      </c>
      <c r="B15" s="3" t="str">
        <f>VLOOKUP($A15,'Employee Details'!$A$1:$N$141,2,0)</f>
        <v>Jane Smith</v>
      </c>
      <c r="C15" s="3" t="str">
        <f>VLOOKUP($A15,'Employee Details'!$A$1:$N$141,3,0)</f>
        <v>Jane</v>
      </c>
      <c r="D15" s="3" t="str">
        <f>VLOOKUP($A15,'Employee Details'!$A$1:$N$141,4,0)</f>
        <v>Smith</v>
      </c>
      <c r="E15" s="3" t="str">
        <f>VLOOKUP($A15,'Employee Details'!$A$1:$N$141,5,0)</f>
        <v>HR</v>
      </c>
      <c r="F15" s="3" t="str">
        <f>VLOOKUP($A15,'Employee Details'!$A$1:$N$141,6,0)</f>
        <v>India</v>
      </c>
      <c r="G15" s="3">
        <f>VLOOKUP($A15,'Employee Details'!$A$1:$N$141,7,0)</f>
        <v>59894</v>
      </c>
      <c r="H15" s="3" t="str">
        <f>VLOOKUP($A15,'Employee Details'!$A$1:$N$141,8,0)</f>
        <v>Good Salary</v>
      </c>
      <c r="I15" s="13">
        <f>VLOOKUP($A15,'Employee Details'!$A$1:$N$141,9,0)</f>
        <v>42106</v>
      </c>
      <c r="J15" s="3" t="str">
        <f>VLOOKUP($A15,'Employee Details'!$A$1:$N$141,10,0)</f>
        <v>April</v>
      </c>
      <c r="K15" s="3">
        <f ca="1">VLOOKUP($A15,'Employee Details'!$A$1:$N$141,11,0)</f>
        <v>4054</v>
      </c>
      <c r="L15" s="3">
        <f>VLOOKUP($A15,'Employee Details'!$A$1:$N$141,12,0)</f>
        <v>2</v>
      </c>
      <c r="M15" s="3" t="str">
        <f>VLOOKUP($A15,'Employee Details'!$A$1:$N$141,13,0)</f>
        <v>Male</v>
      </c>
    </row>
    <row r="16" spans="1:13" x14ac:dyDescent="0.25">
      <c r="A16" s="3" t="s">
        <v>56</v>
      </c>
      <c r="B16" s="3" t="str">
        <f>VLOOKUP($A16,'Employee Details'!$A$1:$N$141,2,0)</f>
        <v>Bob Johnson</v>
      </c>
      <c r="C16" s="3" t="str">
        <f>VLOOKUP($A16,'Employee Details'!$A$1:$N$141,3,0)</f>
        <v>Bob</v>
      </c>
      <c r="D16" s="3" t="str">
        <f>VLOOKUP($A16,'Employee Details'!$A$1:$N$141,4,0)</f>
        <v>Johnson</v>
      </c>
      <c r="E16" s="3" t="str">
        <f>VLOOKUP($A16,'Employee Details'!$A$1:$N$141,5,0)</f>
        <v>Marketing</v>
      </c>
      <c r="F16" s="3" t="str">
        <f>VLOOKUP($A16,'Employee Details'!$A$1:$N$141,6,0)</f>
        <v>Germany</v>
      </c>
      <c r="G16" s="3">
        <f>VLOOKUP($A16,'Employee Details'!$A$1:$N$141,7,0)</f>
        <v>90271</v>
      </c>
      <c r="H16" s="3" t="str">
        <f>VLOOKUP($A16,'Employee Details'!$A$1:$N$141,8,0)</f>
        <v>High Salary</v>
      </c>
      <c r="I16" s="13">
        <f>VLOOKUP($A16,'Employee Details'!$A$1:$N$141,9,0)</f>
        <v>42120</v>
      </c>
      <c r="J16" s="3" t="str">
        <f>VLOOKUP($A16,'Employee Details'!$A$1:$N$141,10,0)</f>
        <v>April</v>
      </c>
      <c r="K16" s="3">
        <f ca="1">VLOOKUP($A16,'Employee Details'!$A$1:$N$141,11,0)</f>
        <v>4040</v>
      </c>
      <c r="L16" s="3">
        <f>VLOOKUP($A16,'Employee Details'!$A$1:$N$141,12,0)</f>
        <v>3</v>
      </c>
      <c r="M16" s="3" t="str">
        <f>VLOOKUP($A16,'Employee Details'!$A$1:$N$141,13,0)</f>
        <v>Not Specified</v>
      </c>
    </row>
    <row r="17" spans="1:13" x14ac:dyDescent="0.25">
      <c r="A17" s="3" t="s">
        <v>58</v>
      </c>
      <c r="B17" s="3" t="str">
        <f>VLOOKUP($A17,'Employee Details'!$A$1:$N$141,2,0)</f>
        <v>Jane Smith</v>
      </c>
      <c r="C17" s="3" t="str">
        <f>VLOOKUP($A17,'Employee Details'!$A$1:$N$141,3,0)</f>
        <v>Jane</v>
      </c>
      <c r="D17" s="3" t="str">
        <f>VLOOKUP($A17,'Employee Details'!$A$1:$N$141,4,0)</f>
        <v>Smith</v>
      </c>
      <c r="E17" s="3" t="str">
        <f>VLOOKUP($A17,'Employee Details'!$A$1:$N$141,5,0)</f>
        <v>Finance</v>
      </c>
      <c r="F17" s="3" t="str">
        <f>VLOOKUP($A17,'Employee Details'!$A$1:$N$141,6,0)</f>
        <v>Australia</v>
      </c>
      <c r="G17" s="3">
        <f>VLOOKUP($A17,'Employee Details'!$A$1:$N$141,7,0)</f>
        <v>41341</v>
      </c>
      <c r="H17" s="3" t="str">
        <f>VLOOKUP($A17,'Employee Details'!$A$1:$N$141,8,0)</f>
        <v>Good Salary</v>
      </c>
      <c r="I17" s="13">
        <f>VLOOKUP($A17,'Employee Details'!$A$1:$N$141,9,0)</f>
        <v>42127</v>
      </c>
      <c r="J17" s="3" t="str">
        <f>VLOOKUP($A17,'Employee Details'!$A$1:$N$141,10,0)</f>
        <v>May</v>
      </c>
      <c r="K17" s="3">
        <f ca="1">VLOOKUP($A17,'Employee Details'!$A$1:$N$141,11,0)</f>
        <v>4033</v>
      </c>
      <c r="L17" s="3">
        <f>VLOOKUP($A17,'Employee Details'!$A$1:$N$141,12,0)</f>
        <v>1</v>
      </c>
      <c r="M17" s="3" t="str">
        <f>VLOOKUP($A17,'Employee Details'!$A$1:$N$141,13,0)</f>
        <v>Other</v>
      </c>
    </row>
    <row r="18" spans="1:13" x14ac:dyDescent="0.25">
      <c r="A18" s="3" t="s">
        <v>61</v>
      </c>
      <c r="B18" s="3" t="str">
        <f>VLOOKUP($A18,'Employee Details'!$A$1:$N$141,2,0)</f>
        <v>Alice Brown</v>
      </c>
      <c r="C18" s="3" t="str">
        <f>VLOOKUP($A18,'Employee Details'!$A$1:$N$141,3,0)</f>
        <v>Alice</v>
      </c>
      <c r="D18" s="3" t="str">
        <f>VLOOKUP($A18,'Employee Details'!$A$1:$N$141,4,0)</f>
        <v>Brown</v>
      </c>
      <c r="E18" s="3" t="str">
        <f>VLOOKUP($A18,'Employee Details'!$A$1:$N$141,5,0)</f>
        <v>Finance</v>
      </c>
      <c r="F18" s="3" t="str">
        <f>VLOOKUP($A18,'Employee Details'!$A$1:$N$141,6,0)</f>
        <v>UK</v>
      </c>
      <c r="G18" s="3">
        <f>VLOOKUP($A18,'Employee Details'!$A$1:$N$141,7,0)</f>
        <v>73602</v>
      </c>
      <c r="H18" s="3" t="str">
        <f>VLOOKUP($A18,'Employee Details'!$A$1:$N$141,8,0)</f>
        <v>High Salary</v>
      </c>
      <c r="I18" s="13">
        <f>VLOOKUP($A18,'Employee Details'!$A$1:$N$141,9,0)</f>
        <v>42134</v>
      </c>
      <c r="J18" s="3" t="str">
        <f>VLOOKUP($A18,'Employee Details'!$A$1:$N$141,10,0)</f>
        <v>May</v>
      </c>
      <c r="K18" s="3">
        <f ca="1">VLOOKUP($A18,'Employee Details'!$A$1:$N$141,11,0)</f>
        <v>4026</v>
      </c>
      <c r="L18" s="3">
        <f>VLOOKUP($A18,'Employee Details'!$A$1:$N$141,12,0)</f>
        <v>3</v>
      </c>
      <c r="M18" s="3" t="str">
        <f>VLOOKUP($A18,'Employee Details'!$A$1:$N$141,13,0)</f>
        <v>Not Specified</v>
      </c>
    </row>
    <row r="19" spans="1:13" x14ac:dyDescent="0.25">
      <c r="A19" s="3" t="s">
        <v>63</v>
      </c>
      <c r="B19" s="3" t="str">
        <f>VLOOKUP($A19,'Employee Details'!$A$1:$N$141,2,0)</f>
        <v>Eve Adams</v>
      </c>
      <c r="C19" s="3" t="str">
        <f>VLOOKUP($A19,'Employee Details'!$A$1:$N$141,3,0)</f>
        <v>Eve</v>
      </c>
      <c r="D19" s="3" t="str">
        <f>VLOOKUP($A19,'Employee Details'!$A$1:$N$141,4,0)</f>
        <v>Adams</v>
      </c>
      <c r="E19" s="3" t="str">
        <f>VLOOKUP($A19,'Employee Details'!$A$1:$N$141,5,0)</f>
        <v>Marketing</v>
      </c>
      <c r="F19" s="3" t="str">
        <f>VLOOKUP($A19,'Employee Details'!$A$1:$N$141,6,0)</f>
        <v>India</v>
      </c>
      <c r="G19" s="3">
        <f>VLOOKUP($A19,'Employee Details'!$A$1:$N$141,7,0)</f>
        <v>67531</v>
      </c>
      <c r="H19" s="3" t="str">
        <f>VLOOKUP($A19,'Employee Details'!$A$1:$N$141,8,0)</f>
        <v>Good Salary</v>
      </c>
      <c r="I19" s="13">
        <f>VLOOKUP($A19,'Employee Details'!$A$1:$N$141,9,0)</f>
        <v>42141</v>
      </c>
      <c r="J19" s="3" t="str">
        <f>VLOOKUP($A19,'Employee Details'!$A$1:$N$141,10,0)</f>
        <v>May</v>
      </c>
      <c r="K19" s="3">
        <f ca="1">VLOOKUP($A19,'Employee Details'!$A$1:$N$141,11,0)</f>
        <v>4019</v>
      </c>
      <c r="L19" s="3">
        <f>VLOOKUP($A19,'Employee Details'!$A$1:$N$141,12,0)</f>
        <v>5</v>
      </c>
      <c r="M19" s="3" t="str">
        <f>VLOOKUP($A19,'Employee Details'!$A$1:$N$141,13,0)</f>
        <v>Female</v>
      </c>
    </row>
    <row r="20" spans="1:13" x14ac:dyDescent="0.25">
      <c r="A20" s="3" t="s">
        <v>65</v>
      </c>
      <c r="B20" s="3" t="str">
        <f>VLOOKUP($A20,'Employee Details'!$A$1:$N$141,2,0)</f>
        <v>Jane Smith</v>
      </c>
      <c r="C20" s="3" t="str">
        <f>VLOOKUP($A20,'Employee Details'!$A$1:$N$141,3,0)</f>
        <v>Jane</v>
      </c>
      <c r="D20" s="3" t="str">
        <f>VLOOKUP($A20,'Employee Details'!$A$1:$N$141,4,0)</f>
        <v>Smith</v>
      </c>
      <c r="E20" s="3" t="str">
        <f>VLOOKUP($A20,'Employee Details'!$A$1:$N$141,5,0)</f>
        <v>HR</v>
      </c>
      <c r="F20" s="3" t="str">
        <f>VLOOKUP($A20,'Employee Details'!$A$1:$N$141,6,0)</f>
        <v>USA</v>
      </c>
      <c r="G20" s="3">
        <f>VLOOKUP($A20,'Employee Details'!$A$1:$N$141,7,0)</f>
        <v>65882</v>
      </c>
      <c r="H20" s="3" t="str">
        <f>VLOOKUP($A20,'Employee Details'!$A$1:$N$141,8,0)</f>
        <v>Good Salary</v>
      </c>
      <c r="I20" s="13">
        <f>VLOOKUP($A20,'Employee Details'!$A$1:$N$141,9,0)</f>
        <v>42148</v>
      </c>
      <c r="J20" s="3" t="str">
        <f>VLOOKUP($A20,'Employee Details'!$A$1:$N$141,10,0)</f>
        <v>May</v>
      </c>
      <c r="K20" s="3">
        <f ca="1">VLOOKUP($A20,'Employee Details'!$A$1:$N$141,11,0)</f>
        <v>4012</v>
      </c>
      <c r="L20" s="3">
        <f>VLOOKUP($A20,'Employee Details'!$A$1:$N$141,12,0)</f>
        <v>2</v>
      </c>
      <c r="M20" s="3" t="str">
        <f>VLOOKUP($A20,'Employee Details'!$A$1:$N$141,13,0)</f>
        <v>Other</v>
      </c>
    </row>
    <row r="21" spans="1:13" x14ac:dyDescent="0.25">
      <c r="A21" s="3" t="s">
        <v>67</v>
      </c>
      <c r="B21" s="3" t="str">
        <f>VLOOKUP($A21,'Employee Details'!$A$1:$N$141,2,0)</f>
        <v>Jane Smith</v>
      </c>
      <c r="C21" s="3" t="str">
        <f>VLOOKUP($A21,'Employee Details'!$A$1:$N$141,3,0)</f>
        <v>Jane</v>
      </c>
      <c r="D21" s="3" t="str">
        <f>VLOOKUP($A21,'Employee Details'!$A$1:$N$141,4,0)</f>
        <v>Smith</v>
      </c>
      <c r="E21" s="3" t="str">
        <f>VLOOKUP($A21,'Employee Details'!$A$1:$N$141,5,0)</f>
        <v>HR</v>
      </c>
      <c r="F21" s="3" t="str">
        <f>VLOOKUP($A21,'Employee Details'!$A$1:$N$141,6,0)</f>
        <v>India</v>
      </c>
      <c r="G21" s="3">
        <f>VLOOKUP($A21,'Employee Details'!$A$1:$N$141,7,0)</f>
        <v>98922</v>
      </c>
      <c r="H21" s="3" t="str">
        <f>VLOOKUP($A21,'Employee Details'!$A$1:$N$141,8,0)</f>
        <v>High Salary</v>
      </c>
      <c r="I21" s="13">
        <f>VLOOKUP($A21,'Employee Details'!$A$1:$N$141,9,0)</f>
        <v>42155</v>
      </c>
      <c r="J21" s="3" t="str">
        <f>VLOOKUP($A21,'Employee Details'!$A$1:$N$141,10,0)</f>
        <v>May</v>
      </c>
      <c r="K21" s="3">
        <f ca="1">VLOOKUP($A21,'Employee Details'!$A$1:$N$141,11,0)</f>
        <v>4005</v>
      </c>
      <c r="L21" s="3">
        <f>VLOOKUP($A21,'Employee Details'!$A$1:$N$141,12,0)</f>
        <v>4</v>
      </c>
      <c r="M21" s="3" t="str">
        <f>VLOOKUP($A21,'Employee Details'!$A$1:$N$141,13,0)</f>
        <v>Not Specified</v>
      </c>
    </row>
    <row r="22" spans="1:13" x14ac:dyDescent="0.25">
      <c r="A22" s="3" t="s">
        <v>69</v>
      </c>
      <c r="B22" s="3" t="str">
        <f>VLOOKUP($A22,'Employee Details'!$A$1:$N$141,2,0)</f>
        <v>Eve Adams</v>
      </c>
      <c r="C22" s="3" t="str">
        <f>VLOOKUP($A22,'Employee Details'!$A$1:$N$141,3,0)</f>
        <v>Eve</v>
      </c>
      <c r="D22" s="3" t="str">
        <f>VLOOKUP($A22,'Employee Details'!$A$1:$N$141,4,0)</f>
        <v>Adams</v>
      </c>
      <c r="E22" s="3" t="str">
        <f>VLOOKUP($A22,'Employee Details'!$A$1:$N$141,5,0)</f>
        <v>Finance</v>
      </c>
      <c r="F22" s="3" t="str">
        <f>VLOOKUP($A22,'Employee Details'!$A$1:$N$141,6,0)</f>
        <v>India</v>
      </c>
      <c r="G22" s="3">
        <f>VLOOKUP($A22,'Employee Details'!$A$1:$N$141,7,0)</f>
        <v>38333</v>
      </c>
      <c r="H22" s="3" t="str">
        <f>VLOOKUP($A22,'Employee Details'!$A$1:$N$141,8,0)</f>
        <v>Low Salary</v>
      </c>
      <c r="I22" s="13">
        <f>VLOOKUP($A22,'Employee Details'!$A$1:$N$141,9,0)</f>
        <v>42162</v>
      </c>
      <c r="J22" s="3" t="str">
        <f>VLOOKUP($A22,'Employee Details'!$A$1:$N$141,10,0)</f>
        <v>June</v>
      </c>
      <c r="K22" s="3">
        <f ca="1">VLOOKUP($A22,'Employee Details'!$A$1:$N$141,11,0)</f>
        <v>3998</v>
      </c>
      <c r="L22" s="3">
        <f>VLOOKUP($A22,'Employee Details'!$A$1:$N$141,12,0)</f>
        <v>5</v>
      </c>
      <c r="M22" s="3" t="str">
        <f>VLOOKUP($A22,'Employee Details'!$A$1:$N$141,13,0)</f>
        <v>Not Specified</v>
      </c>
    </row>
    <row r="23" spans="1:13" x14ac:dyDescent="0.25">
      <c r="A23" s="3" t="s">
        <v>71</v>
      </c>
      <c r="B23" s="3" t="str">
        <f>VLOOKUP($A23,'Employee Details'!$A$1:$N$141,2,0)</f>
        <v>Alice Brown</v>
      </c>
      <c r="C23" s="3" t="str">
        <f>VLOOKUP($A23,'Employee Details'!$A$1:$N$141,3,0)</f>
        <v>Alice</v>
      </c>
      <c r="D23" s="3" t="str">
        <f>VLOOKUP($A23,'Employee Details'!$A$1:$N$141,4,0)</f>
        <v>Brown</v>
      </c>
      <c r="E23" s="3" t="str">
        <f>VLOOKUP($A23,'Employee Details'!$A$1:$N$141,5,0)</f>
        <v>Marketing</v>
      </c>
      <c r="F23" s="3" t="str">
        <f>VLOOKUP($A23,'Employee Details'!$A$1:$N$141,6,0)</f>
        <v>UK</v>
      </c>
      <c r="G23" s="3">
        <f>VLOOKUP($A23,'Employee Details'!$A$1:$N$141,7,0)</f>
        <v>36515</v>
      </c>
      <c r="H23" s="3" t="str">
        <f>VLOOKUP($A23,'Employee Details'!$A$1:$N$141,8,0)</f>
        <v>Low Salary</v>
      </c>
      <c r="I23" s="13">
        <f>VLOOKUP($A23,'Employee Details'!$A$1:$N$141,9,0)</f>
        <v>42169</v>
      </c>
      <c r="J23" s="3" t="str">
        <f>VLOOKUP($A23,'Employee Details'!$A$1:$N$141,10,0)</f>
        <v>June</v>
      </c>
      <c r="K23" s="3">
        <f ca="1">VLOOKUP($A23,'Employee Details'!$A$1:$N$141,11,0)</f>
        <v>3991</v>
      </c>
      <c r="L23" s="3">
        <f>VLOOKUP($A23,'Employee Details'!$A$1:$N$141,12,0)</f>
        <v>3</v>
      </c>
      <c r="M23" s="3" t="str">
        <f>VLOOKUP($A23,'Employee Details'!$A$1:$N$141,13,0)</f>
        <v>Male</v>
      </c>
    </row>
    <row r="24" spans="1:13" x14ac:dyDescent="0.25">
      <c r="A24" s="3" t="s">
        <v>73</v>
      </c>
      <c r="B24" s="3" t="str">
        <f>VLOOKUP($A24,'Employee Details'!$A$1:$N$141,2,0)</f>
        <v>Sam Wilson</v>
      </c>
      <c r="C24" s="3" t="str">
        <f>VLOOKUP($A24,'Employee Details'!$A$1:$N$141,3,0)</f>
        <v>Sam</v>
      </c>
      <c r="D24" s="3" t="str">
        <f>VLOOKUP($A24,'Employee Details'!$A$1:$N$141,4,0)</f>
        <v>Wilson</v>
      </c>
      <c r="E24" s="3" t="str">
        <f>VLOOKUP($A24,'Employee Details'!$A$1:$N$141,5,0)</f>
        <v>Finance</v>
      </c>
      <c r="F24" s="3" t="str">
        <f>VLOOKUP($A24,'Employee Details'!$A$1:$N$141,6,0)</f>
        <v>India</v>
      </c>
      <c r="G24" s="3">
        <f>VLOOKUP($A24,'Employee Details'!$A$1:$N$141,7,0)</f>
        <v>91005</v>
      </c>
      <c r="H24" s="3" t="str">
        <f>VLOOKUP($A24,'Employee Details'!$A$1:$N$141,8,0)</f>
        <v>High Salary</v>
      </c>
      <c r="I24" s="13">
        <f>VLOOKUP($A24,'Employee Details'!$A$1:$N$141,9,0)</f>
        <v>42176</v>
      </c>
      <c r="J24" s="3" t="str">
        <f>VLOOKUP($A24,'Employee Details'!$A$1:$N$141,10,0)</f>
        <v>June</v>
      </c>
      <c r="K24" s="3">
        <f ca="1">VLOOKUP($A24,'Employee Details'!$A$1:$N$141,11,0)</f>
        <v>3984</v>
      </c>
      <c r="L24" s="3">
        <f>VLOOKUP($A24,'Employee Details'!$A$1:$N$141,12,0)</f>
        <v>1</v>
      </c>
      <c r="M24" s="3" t="str">
        <f>VLOOKUP($A24,'Employee Details'!$A$1:$N$141,13,0)</f>
        <v>Other</v>
      </c>
    </row>
    <row r="25" spans="1:13" x14ac:dyDescent="0.25">
      <c r="A25" s="3" t="s">
        <v>75</v>
      </c>
      <c r="B25" s="3" t="str">
        <f>VLOOKUP($A25,'Employee Details'!$A$1:$N$141,2,0)</f>
        <v>Chris Lee</v>
      </c>
      <c r="C25" s="3" t="str">
        <f>VLOOKUP($A25,'Employee Details'!$A$1:$N$141,3,0)</f>
        <v>Chris</v>
      </c>
      <c r="D25" s="3" t="str">
        <f>VLOOKUP($A25,'Employee Details'!$A$1:$N$141,4,0)</f>
        <v>Lee</v>
      </c>
      <c r="E25" s="3" t="str">
        <f>VLOOKUP($A25,'Employee Details'!$A$1:$N$141,5,0)</f>
        <v>Marketing</v>
      </c>
      <c r="F25" s="3" t="str">
        <f>VLOOKUP($A25,'Employee Details'!$A$1:$N$141,6,0)</f>
        <v>India</v>
      </c>
      <c r="G25" s="3">
        <f>VLOOKUP($A25,'Employee Details'!$A$1:$N$141,7,0)</f>
        <v>52272</v>
      </c>
      <c r="H25" s="3" t="str">
        <f>VLOOKUP($A25,'Employee Details'!$A$1:$N$141,8,0)</f>
        <v>Good Salary</v>
      </c>
      <c r="I25" s="13">
        <f>VLOOKUP($A25,'Employee Details'!$A$1:$N$141,9,0)</f>
        <v>42183</v>
      </c>
      <c r="J25" s="3" t="str">
        <f>VLOOKUP($A25,'Employee Details'!$A$1:$N$141,10,0)</f>
        <v>June</v>
      </c>
      <c r="K25" s="3">
        <f ca="1">VLOOKUP($A25,'Employee Details'!$A$1:$N$141,11,0)</f>
        <v>3977</v>
      </c>
      <c r="L25" s="3">
        <f>VLOOKUP($A25,'Employee Details'!$A$1:$N$141,12,0)</f>
        <v>3</v>
      </c>
      <c r="M25" s="3" t="str">
        <f>VLOOKUP($A25,'Employee Details'!$A$1:$N$141,13,0)</f>
        <v>Not Specified</v>
      </c>
    </row>
    <row r="26" spans="1:13" x14ac:dyDescent="0.25">
      <c r="A26" s="3" t="s">
        <v>77</v>
      </c>
      <c r="B26" s="3" t="str">
        <f>VLOOKUP($A26,'Employee Details'!$A$1:$N$141,2,0)</f>
        <v>Eve Adams</v>
      </c>
      <c r="C26" s="3" t="str">
        <f>VLOOKUP($A26,'Employee Details'!$A$1:$N$141,3,0)</f>
        <v>Eve</v>
      </c>
      <c r="D26" s="3" t="str">
        <f>VLOOKUP($A26,'Employee Details'!$A$1:$N$141,4,0)</f>
        <v>Adams</v>
      </c>
      <c r="E26" s="3" t="str">
        <f>VLOOKUP($A26,'Employee Details'!$A$1:$N$141,5,0)</f>
        <v>Sales</v>
      </c>
      <c r="F26" s="3" t="str">
        <f>VLOOKUP($A26,'Employee Details'!$A$1:$N$141,6,0)</f>
        <v>Germany</v>
      </c>
      <c r="G26" s="3">
        <f>VLOOKUP($A26,'Employee Details'!$A$1:$N$141,7,0)</f>
        <v>76518</v>
      </c>
      <c r="H26" s="3" t="str">
        <f>VLOOKUP($A26,'Employee Details'!$A$1:$N$141,8,0)</f>
        <v>High Salary</v>
      </c>
      <c r="I26" s="13">
        <f>VLOOKUP($A26,'Employee Details'!$A$1:$N$141,9,0)</f>
        <v>42190</v>
      </c>
      <c r="J26" s="3" t="str">
        <f>VLOOKUP($A26,'Employee Details'!$A$1:$N$141,10,0)</f>
        <v>July</v>
      </c>
      <c r="K26" s="3">
        <f ca="1">VLOOKUP($A26,'Employee Details'!$A$1:$N$141,11,0)</f>
        <v>3970</v>
      </c>
      <c r="L26" s="3">
        <f>VLOOKUP($A26,'Employee Details'!$A$1:$N$141,12,0)</f>
        <v>2</v>
      </c>
      <c r="M26" s="3" t="str">
        <f>VLOOKUP($A26,'Employee Details'!$A$1:$N$141,13,0)</f>
        <v>Female</v>
      </c>
    </row>
    <row r="27" spans="1:13" x14ac:dyDescent="0.25">
      <c r="A27" s="3" t="s">
        <v>79</v>
      </c>
      <c r="B27" s="3" t="str">
        <f>VLOOKUP($A27,'Employee Details'!$A$1:$N$141,2,0)</f>
        <v>Alice Brown</v>
      </c>
      <c r="C27" s="3" t="str">
        <f>VLOOKUP($A27,'Employee Details'!$A$1:$N$141,3,0)</f>
        <v>Alice</v>
      </c>
      <c r="D27" s="3" t="str">
        <f>VLOOKUP($A27,'Employee Details'!$A$1:$N$141,4,0)</f>
        <v>Brown</v>
      </c>
      <c r="E27" s="3" t="str">
        <f>VLOOKUP($A27,'Employee Details'!$A$1:$N$141,5,0)</f>
        <v>IT</v>
      </c>
      <c r="F27" s="3" t="str">
        <f>VLOOKUP($A27,'Employee Details'!$A$1:$N$141,6,0)</f>
        <v>UK</v>
      </c>
      <c r="G27" s="3">
        <f>VLOOKUP($A27,'Employee Details'!$A$1:$N$141,7,0)</f>
        <v>41448</v>
      </c>
      <c r="H27" s="3" t="str">
        <f>VLOOKUP($A27,'Employee Details'!$A$1:$N$141,8,0)</f>
        <v>Good Salary</v>
      </c>
      <c r="I27" s="13">
        <f>VLOOKUP($A27,'Employee Details'!$A$1:$N$141,9,0)</f>
        <v>42197</v>
      </c>
      <c r="J27" s="3" t="str">
        <f>VLOOKUP($A27,'Employee Details'!$A$1:$N$141,10,0)</f>
        <v>July</v>
      </c>
      <c r="K27" s="3">
        <f ca="1">VLOOKUP($A27,'Employee Details'!$A$1:$N$141,11,0)</f>
        <v>3963</v>
      </c>
      <c r="L27" s="3">
        <f>VLOOKUP($A27,'Employee Details'!$A$1:$N$141,12,0)</f>
        <v>3</v>
      </c>
      <c r="M27" s="3" t="str">
        <f>VLOOKUP($A27,'Employee Details'!$A$1:$N$141,13,0)</f>
        <v>Other</v>
      </c>
    </row>
    <row r="28" spans="1:13" x14ac:dyDescent="0.25">
      <c r="A28" s="3" t="s">
        <v>81</v>
      </c>
      <c r="B28" s="3" t="str">
        <f>VLOOKUP($A28,'Employee Details'!$A$1:$N$141,2,0)</f>
        <v>John Doe</v>
      </c>
      <c r="C28" s="3" t="str">
        <f>VLOOKUP($A28,'Employee Details'!$A$1:$N$141,3,0)</f>
        <v>John</v>
      </c>
      <c r="D28" s="3" t="str">
        <f>VLOOKUP($A28,'Employee Details'!$A$1:$N$141,4,0)</f>
        <v>Doe</v>
      </c>
      <c r="E28" s="3" t="str">
        <f>VLOOKUP($A28,'Employee Details'!$A$1:$N$141,5,0)</f>
        <v>HR</v>
      </c>
      <c r="F28" s="3" t="str">
        <f>VLOOKUP($A28,'Employee Details'!$A$1:$N$141,6,0)</f>
        <v>UK</v>
      </c>
      <c r="G28" s="3">
        <f>VLOOKUP($A28,'Employee Details'!$A$1:$N$141,7,0)</f>
        <v>49282</v>
      </c>
      <c r="H28" s="3" t="str">
        <f>VLOOKUP($A28,'Employee Details'!$A$1:$N$141,8,0)</f>
        <v>Good Salary</v>
      </c>
      <c r="I28" s="13">
        <f>VLOOKUP($A28,'Employee Details'!$A$1:$N$141,9,0)</f>
        <v>42204</v>
      </c>
      <c r="J28" s="3" t="str">
        <f>VLOOKUP($A28,'Employee Details'!$A$1:$N$141,10,0)</f>
        <v>July</v>
      </c>
      <c r="K28" s="3">
        <f ca="1">VLOOKUP($A28,'Employee Details'!$A$1:$N$141,11,0)</f>
        <v>3956</v>
      </c>
      <c r="L28" s="3">
        <f>VLOOKUP($A28,'Employee Details'!$A$1:$N$141,12,0)</f>
        <v>2</v>
      </c>
      <c r="M28" s="3" t="str">
        <f>VLOOKUP($A28,'Employee Details'!$A$1:$N$141,13,0)</f>
        <v>Female</v>
      </c>
    </row>
    <row r="29" spans="1:13" x14ac:dyDescent="0.25">
      <c r="A29" s="3" t="s">
        <v>83</v>
      </c>
      <c r="B29" s="3" t="str">
        <f>VLOOKUP($A29,'Employee Details'!$A$1:$N$141,2,0)</f>
        <v>Bob Johnson</v>
      </c>
      <c r="C29" s="3" t="str">
        <f>VLOOKUP($A29,'Employee Details'!$A$1:$N$141,3,0)</f>
        <v>Bob</v>
      </c>
      <c r="D29" s="3" t="str">
        <f>VLOOKUP($A29,'Employee Details'!$A$1:$N$141,4,0)</f>
        <v>Johnson</v>
      </c>
      <c r="E29" s="3" t="str">
        <f>VLOOKUP($A29,'Employee Details'!$A$1:$N$141,5,0)</f>
        <v>Marketing</v>
      </c>
      <c r="F29" s="3" t="str">
        <f>VLOOKUP($A29,'Employee Details'!$A$1:$N$141,6,0)</f>
        <v>UK</v>
      </c>
      <c r="G29" s="3">
        <f>VLOOKUP($A29,'Employee Details'!$A$1:$N$141,7,0)</f>
        <v>92959</v>
      </c>
      <c r="H29" s="3" t="str">
        <f>VLOOKUP($A29,'Employee Details'!$A$1:$N$141,8,0)</f>
        <v>High Salary</v>
      </c>
      <c r="I29" s="13">
        <f>VLOOKUP($A29,'Employee Details'!$A$1:$N$141,9,0)</f>
        <v>42211</v>
      </c>
      <c r="J29" s="3" t="str">
        <f>VLOOKUP($A29,'Employee Details'!$A$1:$N$141,10,0)</f>
        <v>July</v>
      </c>
      <c r="K29" s="3">
        <f ca="1">VLOOKUP($A29,'Employee Details'!$A$1:$N$141,11,0)</f>
        <v>3949</v>
      </c>
      <c r="L29" s="3">
        <f>VLOOKUP($A29,'Employee Details'!$A$1:$N$141,12,0)</f>
        <v>5</v>
      </c>
      <c r="M29" s="3" t="str">
        <f>VLOOKUP($A29,'Employee Details'!$A$1:$N$141,13,0)</f>
        <v>Not Specified</v>
      </c>
    </row>
    <row r="30" spans="1:13" x14ac:dyDescent="0.25">
      <c r="A30" s="3" t="s">
        <v>85</v>
      </c>
      <c r="B30" s="3" t="str">
        <f>VLOOKUP($A30,'Employee Details'!$A$1:$N$141,2,0)</f>
        <v>Eve Adams</v>
      </c>
      <c r="C30" s="3" t="str">
        <f>VLOOKUP($A30,'Employee Details'!$A$1:$N$141,3,0)</f>
        <v>Eve</v>
      </c>
      <c r="D30" s="3" t="str">
        <f>VLOOKUP($A30,'Employee Details'!$A$1:$N$141,4,0)</f>
        <v>Adams</v>
      </c>
      <c r="E30" s="3" t="str">
        <f>VLOOKUP($A30,'Employee Details'!$A$1:$N$141,5,0)</f>
        <v>HR</v>
      </c>
      <c r="F30" s="3" t="str">
        <f>VLOOKUP($A30,'Employee Details'!$A$1:$N$141,6,0)</f>
        <v>Germany</v>
      </c>
      <c r="G30" s="3">
        <f>VLOOKUP($A30,'Employee Details'!$A$1:$N$141,7,0)</f>
        <v>92299</v>
      </c>
      <c r="H30" s="3" t="str">
        <f>VLOOKUP($A30,'Employee Details'!$A$1:$N$141,8,0)</f>
        <v>High Salary</v>
      </c>
      <c r="I30" s="13">
        <f>VLOOKUP($A30,'Employee Details'!$A$1:$N$141,9,0)</f>
        <v>42225</v>
      </c>
      <c r="J30" s="3" t="str">
        <f>VLOOKUP($A30,'Employee Details'!$A$1:$N$141,10,0)</f>
        <v>August</v>
      </c>
      <c r="K30" s="3">
        <f ca="1">VLOOKUP($A30,'Employee Details'!$A$1:$N$141,11,0)</f>
        <v>3935</v>
      </c>
      <c r="L30" s="3">
        <f>VLOOKUP($A30,'Employee Details'!$A$1:$N$141,12,0)</f>
        <v>3</v>
      </c>
      <c r="M30" s="3" t="str">
        <f>VLOOKUP($A30,'Employee Details'!$A$1:$N$141,13,0)</f>
        <v>Male</v>
      </c>
    </row>
    <row r="31" spans="1:13" x14ac:dyDescent="0.25">
      <c r="A31" s="3" t="s">
        <v>87</v>
      </c>
      <c r="B31" s="3" t="str">
        <f>VLOOKUP($A31,'Employee Details'!$A$1:$N$141,2,0)</f>
        <v>Sam Wilson</v>
      </c>
      <c r="C31" s="3" t="str">
        <f>VLOOKUP($A31,'Employee Details'!$A$1:$N$141,3,0)</f>
        <v>Sam</v>
      </c>
      <c r="D31" s="3" t="str">
        <f>VLOOKUP($A31,'Employee Details'!$A$1:$N$141,4,0)</f>
        <v>Wilson</v>
      </c>
      <c r="E31" s="3" t="str">
        <f>VLOOKUP($A31,'Employee Details'!$A$1:$N$141,5,0)</f>
        <v>HR</v>
      </c>
      <c r="F31" s="3" t="str">
        <f>VLOOKUP($A31,'Employee Details'!$A$1:$N$141,6,0)</f>
        <v>India</v>
      </c>
      <c r="G31" s="3">
        <f>VLOOKUP($A31,'Employee Details'!$A$1:$N$141,7,0)</f>
        <v>95586</v>
      </c>
      <c r="H31" s="3" t="str">
        <f>VLOOKUP($A31,'Employee Details'!$A$1:$N$141,8,0)</f>
        <v>High Salary</v>
      </c>
      <c r="I31" s="13">
        <f>VLOOKUP($A31,'Employee Details'!$A$1:$N$141,9,0)</f>
        <v>42232</v>
      </c>
      <c r="J31" s="3" t="str">
        <f>VLOOKUP($A31,'Employee Details'!$A$1:$N$141,10,0)</f>
        <v>August</v>
      </c>
      <c r="K31" s="3">
        <f ca="1">VLOOKUP($A31,'Employee Details'!$A$1:$N$141,11,0)</f>
        <v>3928</v>
      </c>
      <c r="L31" s="3">
        <f>VLOOKUP($A31,'Employee Details'!$A$1:$N$141,12,0)</f>
        <v>3</v>
      </c>
      <c r="M31" s="3" t="str">
        <f>VLOOKUP($A31,'Employee Details'!$A$1:$N$141,13,0)</f>
        <v>Other</v>
      </c>
    </row>
    <row r="32" spans="1:13" x14ac:dyDescent="0.25">
      <c r="A32" s="3" t="s">
        <v>89</v>
      </c>
      <c r="B32" s="3" t="str">
        <f>VLOOKUP($A32,'Employee Details'!$A$1:$N$141,2,0)</f>
        <v>Chris Lee</v>
      </c>
      <c r="C32" s="3" t="str">
        <f>VLOOKUP($A32,'Employee Details'!$A$1:$N$141,3,0)</f>
        <v>Chris</v>
      </c>
      <c r="D32" s="3" t="str">
        <f>VLOOKUP($A32,'Employee Details'!$A$1:$N$141,4,0)</f>
        <v>Lee</v>
      </c>
      <c r="E32" s="3" t="str">
        <f>VLOOKUP($A32,'Employee Details'!$A$1:$N$141,5,0)</f>
        <v>Marketing</v>
      </c>
      <c r="F32" s="3" t="str">
        <f>VLOOKUP($A32,'Employee Details'!$A$1:$N$141,6,0)</f>
        <v>USA</v>
      </c>
      <c r="G32" s="3">
        <f>VLOOKUP($A32,'Employee Details'!$A$1:$N$141,7,0)</f>
        <v>95367</v>
      </c>
      <c r="H32" s="3" t="str">
        <f>VLOOKUP($A32,'Employee Details'!$A$1:$N$141,8,0)</f>
        <v>High Salary</v>
      </c>
      <c r="I32" s="13">
        <f>VLOOKUP($A32,'Employee Details'!$A$1:$N$141,9,0)</f>
        <v>42239</v>
      </c>
      <c r="J32" s="3" t="str">
        <f>VLOOKUP($A32,'Employee Details'!$A$1:$N$141,10,0)</f>
        <v>August</v>
      </c>
      <c r="K32" s="3">
        <f ca="1">VLOOKUP($A32,'Employee Details'!$A$1:$N$141,11,0)</f>
        <v>3921</v>
      </c>
      <c r="L32" s="3">
        <f>VLOOKUP($A32,'Employee Details'!$A$1:$N$141,12,0)</f>
        <v>3</v>
      </c>
      <c r="M32" s="3" t="str">
        <f>VLOOKUP($A32,'Employee Details'!$A$1:$N$141,13,0)</f>
        <v>Male</v>
      </c>
    </row>
    <row r="33" spans="1:13" x14ac:dyDescent="0.25">
      <c r="A33" s="3" t="s">
        <v>91</v>
      </c>
      <c r="B33" s="3" t="str">
        <f>VLOOKUP($A33,'Employee Details'!$A$1:$N$141,2,0)</f>
        <v>John Doe</v>
      </c>
      <c r="C33" s="3" t="str">
        <f>VLOOKUP($A33,'Employee Details'!$A$1:$N$141,3,0)</f>
        <v>John</v>
      </c>
      <c r="D33" s="3" t="str">
        <f>VLOOKUP($A33,'Employee Details'!$A$1:$N$141,4,0)</f>
        <v>Doe</v>
      </c>
      <c r="E33" s="3" t="str">
        <f>VLOOKUP($A33,'Employee Details'!$A$1:$N$141,5,0)</f>
        <v>Sales</v>
      </c>
      <c r="F33" s="3" t="str">
        <f>VLOOKUP($A33,'Employee Details'!$A$1:$N$141,6,0)</f>
        <v>Australia</v>
      </c>
      <c r="G33" s="3">
        <f>VLOOKUP($A33,'Employee Details'!$A$1:$N$141,7,0)</f>
        <v>79549</v>
      </c>
      <c r="H33" s="3" t="str">
        <f>VLOOKUP($A33,'Employee Details'!$A$1:$N$141,8,0)</f>
        <v>High Salary</v>
      </c>
      <c r="I33" s="13">
        <f>VLOOKUP($A33,'Employee Details'!$A$1:$N$141,9,0)</f>
        <v>42246</v>
      </c>
      <c r="J33" s="3" t="str">
        <f>VLOOKUP($A33,'Employee Details'!$A$1:$N$141,10,0)</f>
        <v>August</v>
      </c>
      <c r="K33" s="3">
        <f ca="1">VLOOKUP($A33,'Employee Details'!$A$1:$N$141,11,0)</f>
        <v>3914</v>
      </c>
      <c r="L33" s="3">
        <f>VLOOKUP($A33,'Employee Details'!$A$1:$N$141,12,0)</f>
        <v>3</v>
      </c>
      <c r="M33" s="3" t="str">
        <f>VLOOKUP($A33,'Employee Details'!$A$1:$N$141,13,0)</f>
        <v>Not Specified</v>
      </c>
    </row>
    <row r="34" spans="1:13" x14ac:dyDescent="0.25">
      <c r="A34" s="3" t="s">
        <v>93</v>
      </c>
      <c r="B34" s="3" t="str">
        <f>VLOOKUP($A34,'Employee Details'!$A$1:$N$141,2,0)</f>
        <v>Alice Brown</v>
      </c>
      <c r="C34" s="3" t="str">
        <f>VLOOKUP($A34,'Employee Details'!$A$1:$N$141,3,0)</f>
        <v>Alice</v>
      </c>
      <c r="D34" s="3" t="str">
        <f>VLOOKUP($A34,'Employee Details'!$A$1:$N$141,4,0)</f>
        <v>Brown</v>
      </c>
      <c r="E34" s="3" t="str">
        <f>VLOOKUP($A34,'Employee Details'!$A$1:$N$141,5,0)</f>
        <v>Marketing</v>
      </c>
      <c r="F34" s="3" t="str">
        <f>VLOOKUP($A34,'Employee Details'!$A$1:$N$141,6,0)</f>
        <v>UK</v>
      </c>
      <c r="G34" s="3">
        <f>VLOOKUP($A34,'Employee Details'!$A$1:$N$141,7,0)</f>
        <v>54463</v>
      </c>
      <c r="H34" s="3" t="str">
        <f>VLOOKUP($A34,'Employee Details'!$A$1:$N$141,8,0)</f>
        <v>Good Salary</v>
      </c>
      <c r="I34" s="13">
        <f>VLOOKUP($A34,'Employee Details'!$A$1:$N$141,9,0)</f>
        <v>42253</v>
      </c>
      <c r="J34" s="3" t="str">
        <f>VLOOKUP($A34,'Employee Details'!$A$1:$N$141,10,0)</f>
        <v>September</v>
      </c>
      <c r="K34" s="3">
        <f ca="1">VLOOKUP($A34,'Employee Details'!$A$1:$N$141,11,0)</f>
        <v>3907</v>
      </c>
      <c r="L34" s="3">
        <f>VLOOKUP($A34,'Employee Details'!$A$1:$N$141,12,0)</f>
        <v>4</v>
      </c>
      <c r="M34" s="3" t="str">
        <f>VLOOKUP($A34,'Employee Details'!$A$1:$N$141,13,0)</f>
        <v>Male</v>
      </c>
    </row>
    <row r="35" spans="1:13" x14ac:dyDescent="0.25">
      <c r="A35" s="3" t="s">
        <v>94</v>
      </c>
      <c r="B35" s="3" t="str">
        <f>VLOOKUP($A35,'Employee Details'!$A$1:$N$141,2,0)</f>
        <v>Alice Brown</v>
      </c>
      <c r="C35" s="3" t="str">
        <f>VLOOKUP($A35,'Employee Details'!$A$1:$N$141,3,0)</f>
        <v>Alice</v>
      </c>
      <c r="D35" s="3" t="str">
        <f>VLOOKUP($A35,'Employee Details'!$A$1:$N$141,4,0)</f>
        <v>Brown</v>
      </c>
      <c r="E35" s="3" t="str">
        <f>VLOOKUP($A35,'Employee Details'!$A$1:$N$141,5,0)</f>
        <v>IT</v>
      </c>
      <c r="F35" s="3" t="str">
        <f>VLOOKUP($A35,'Employee Details'!$A$1:$N$141,6,0)</f>
        <v>USA</v>
      </c>
      <c r="G35" s="3">
        <f>VLOOKUP($A35,'Employee Details'!$A$1:$N$141,7,0)</f>
        <v>89781</v>
      </c>
      <c r="H35" s="3" t="str">
        <f>VLOOKUP($A35,'Employee Details'!$A$1:$N$141,8,0)</f>
        <v>High Salary</v>
      </c>
      <c r="I35" s="13">
        <f>VLOOKUP($A35,'Employee Details'!$A$1:$N$141,9,0)</f>
        <v>42260</v>
      </c>
      <c r="J35" s="3" t="str">
        <f>VLOOKUP($A35,'Employee Details'!$A$1:$N$141,10,0)</f>
        <v>September</v>
      </c>
      <c r="K35" s="3">
        <f ca="1">VLOOKUP($A35,'Employee Details'!$A$1:$N$141,11,0)</f>
        <v>3900</v>
      </c>
      <c r="L35" s="3">
        <f>VLOOKUP($A35,'Employee Details'!$A$1:$N$141,12,0)</f>
        <v>3</v>
      </c>
      <c r="M35" s="3" t="str">
        <f>VLOOKUP($A35,'Employee Details'!$A$1:$N$141,13,0)</f>
        <v>Female</v>
      </c>
    </row>
    <row r="36" spans="1:13" x14ac:dyDescent="0.25">
      <c r="A36" s="3" t="s">
        <v>96</v>
      </c>
      <c r="B36" s="3" t="str">
        <f>VLOOKUP($A36,'Employee Details'!$A$1:$N$141,2,0)</f>
        <v>Alice Brown</v>
      </c>
      <c r="C36" s="3" t="str">
        <f>VLOOKUP($A36,'Employee Details'!$A$1:$N$141,3,0)</f>
        <v>Alice</v>
      </c>
      <c r="D36" s="3" t="str">
        <f>VLOOKUP($A36,'Employee Details'!$A$1:$N$141,4,0)</f>
        <v>Brown</v>
      </c>
      <c r="E36" s="3" t="str">
        <f>VLOOKUP($A36,'Employee Details'!$A$1:$N$141,5,0)</f>
        <v>HR</v>
      </c>
      <c r="F36" s="3" t="str">
        <f>VLOOKUP($A36,'Employee Details'!$A$1:$N$141,6,0)</f>
        <v>India</v>
      </c>
      <c r="G36" s="3">
        <f>VLOOKUP($A36,'Employee Details'!$A$1:$N$141,7,0)</f>
        <v>64796</v>
      </c>
      <c r="H36" s="3" t="str">
        <f>VLOOKUP($A36,'Employee Details'!$A$1:$N$141,8,0)</f>
        <v>Good Salary</v>
      </c>
      <c r="I36" s="13">
        <f>VLOOKUP($A36,'Employee Details'!$A$1:$N$141,9,0)</f>
        <v>42267</v>
      </c>
      <c r="J36" s="3" t="str">
        <f>VLOOKUP($A36,'Employee Details'!$A$1:$N$141,10,0)</f>
        <v>September</v>
      </c>
      <c r="K36" s="3">
        <f ca="1">VLOOKUP($A36,'Employee Details'!$A$1:$N$141,11,0)</f>
        <v>3893</v>
      </c>
      <c r="L36" s="3">
        <f>VLOOKUP($A36,'Employee Details'!$A$1:$N$141,12,0)</f>
        <v>3</v>
      </c>
      <c r="M36" s="3" t="str">
        <f>VLOOKUP($A36,'Employee Details'!$A$1:$N$141,13,0)</f>
        <v>Other</v>
      </c>
    </row>
    <row r="37" spans="1:13" x14ac:dyDescent="0.25">
      <c r="A37" s="3" t="s">
        <v>98</v>
      </c>
      <c r="B37" s="3" t="str">
        <f>VLOOKUP($A37,'Employee Details'!$A$1:$N$141,2,0)</f>
        <v>John Doe</v>
      </c>
      <c r="C37" s="3" t="str">
        <f>VLOOKUP($A37,'Employee Details'!$A$1:$N$141,3,0)</f>
        <v>John</v>
      </c>
      <c r="D37" s="3" t="str">
        <f>VLOOKUP($A37,'Employee Details'!$A$1:$N$141,4,0)</f>
        <v>Doe</v>
      </c>
      <c r="E37" s="3" t="str">
        <f>VLOOKUP($A37,'Employee Details'!$A$1:$N$141,5,0)</f>
        <v>Marketing</v>
      </c>
      <c r="F37" s="3" t="str">
        <f>VLOOKUP($A37,'Employee Details'!$A$1:$N$141,6,0)</f>
        <v>UK</v>
      </c>
      <c r="G37" s="3">
        <f>VLOOKUP($A37,'Employee Details'!$A$1:$N$141,7,0)</f>
        <v>52093</v>
      </c>
      <c r="H37" s="3" t="str">
        <f>VLOOKUP($A37,'Employee Details'!$A$1:$N$141,8,0)</f>
        <v>Good Salary</v>
      </c>
      <c r="I37" s="13">
        <f>VLOOKUP($A37,'Employee Details'!$A$1:$N$141,9,0)</f>
        <v>42274</v>
      </c>
      <c r="J37" s="3" t="str">
        <f>VLOOKUP($A37,'Employee Details'!$A$1:$N$141,10,0)</f>
        <v>September</v>
      </c>
      <c r="K37" s="3">
        <f ca="1">VLOOKUP($A37,'Employee Details'!$A$1:$N$141,11,0)</f>
        <v>3886</v>
      </c>
      <c r="L37" s="3">
        <f>VLOOKUP($A37,'Employee Details'!$A$1:$N$141,12,0)</f>
        <v>5</v>
      </c>
      <c r="M37" s="3" t="str">
        <f>VLOOKUP($A37,'Employee Details'!$A$1:$N$141,13,0)</f>
        <v>Not Specified</v>
      </c>
    </row>
    <row r="38" spans="1:13" x14ac:dyDescent="0.25">
      <c r="A38" s="3" t="s">
        <v>100</v>
      </c>
      <c r="B38" s="3" t="str">
        <f>VLOOKUP($A38,'Employee Details'!$A$1:$N$141,2,0)</f>
        <v>Chris Lee</v>
      </c>
      <c r="C38" s="3" t="str">
        <f>VLOOKUP($A38,'Employee Details'!$A$1:$N$141,3,0)</f>
        <v>Chris</v>
      </c>
      <c r="D38" s="3" t="str">
        <f>VLOOKUP($A38,'Employee Details'!$A$1:$N$141,4,0)</f>
        <v>Lee</v>
      </c>
      <c r="E38" s="3" t="str">
        <f>VLOOKUP($A38,'Employee Details'!$A$1:$N$141,5,0)</f>
        <v>HR</v>
      </c>
      <c r="F38" s="3" t="str">
        <f>VLOOKUP($A38,'Employee Details'!$A$1:$N$141,6,0)</f>
        <v>UK</v>
      </c>
      <c r="G38" s="3">
        <f>VLOOKUP($A38,'Employee Details'!$A$1:$N$141,7,0)</f>
        <v>48224</v>
      </c>
      <c r="H38" s="3" t="str">
        <f>VLOOKUP($A38,'Employee Details'!$A$1:$N$141,8,0)</f>
        <v>Good Salary</v>
      </c>
      <c r="I38" s="13">
        <f>VLOOKUP($A38,'Employee Details'!$A$1:$N$141,9,0)</f>
        <v>42281</v>
      </c>
      <c r="J38" s="3" t="str">
        <f>VLOOKUP($A38,'Employee Details'!$A$1:$N$141,10,0)</f>
        <v>October</v>
      </c>
      <c r="K38" s="3">
        <f ca="1">VLOOKUP($A38,'Employee Details'!$A$1:$N$141,11,0)</f>
        <v>3879</v>
      </c>
      <c r="L38" s="3">
        <f>VLOOKUP($A38,'Employee Details'!$A$1:$N$141,12,0)</f>
        <v>3</v>
      </c>
      <c r="M38" s="3" t="str">
        <f>VLOOKUP($A38,'Employee Details'!$A$1:$N$141,13,0)</f>
        <v>Not Specified</v>
      </c>
    </row>
    <row r="39" spans="1:13" x14ac:dyDescent="0.25">
      <c r="A39" s="3" t="s">
        <v>102</v>
      </c>
      <c r="B39" s="3" t="str">
        <f>VLOOKUP($A39,'Employee Details'!$A$1:$N$141,2,0)</f>
        <v>Bob Johnson</v>
      </c>
      <c r="C39" s="3" t="str">
        <f>VLOOKUP($A39,'Employee Details'!$A$1:$N$141,3,0)</f>
        <v>Bob</v>
      </c>
      <c r="D39" s="3" t="str">
        <f>VLOOKUP($A39,'Employee Details'!$A$1:$N$141,4,0)</f>
        <v>Johnson</v>
      </c>
      <c r="E39" s="3" t="str">
        <f>VLOOKUP($A39,'Employee Details'!$A$1:$N$141,5,0)</f>
        <v>Finance</v>
      </c>
      <c r="F39" s="3" t="str">
        <f>VLOOKUP($A39,'Employee Details'!$A$1:$N$141,6,0)</f>
        <v>UK</v>
      </c>
      <c r="G39" s="3">
        <f>VLOOKUP($A39,'Employee Details'!$A$1:$N$141,7,0)</f>
        <v>65882</v>
      </c>
      <c r="H39" s="3" t="str">
        <f>VLOOKUP($A39,'Employee Details'!$A$1:$N$141,8,0)</f>
        <v>Good Salary</v>
      </c>
      <c r="I39" s="13">
        <f>VLOOKUP($A39,'Employee Details'!$A$1:$N$141,9,0)</f>
        <v>42288</v>
      </c>
      <c r="J39" s="3" t="str">
        <f>VLOOKUP($A39,'Employee Details'!$A$1:$N$141,10,0)</f>
        <v>October</v>
      </c>
      <c r="K39" s="3">
        <f ca="1">VLOOKUP($A39,'Employee Details'!$A$1:$N$141,11,0)</f>
        <v>3872</v>
      </c>
      <c r="L39" s="3">
        <f>VLOOKUP($A39,'Employee Details'!$A$1:$N$141,12,0)</f>
        <v>4</v>
      </c>
      <c r="M39" s="3" t="str">
        <f>VLOOKUP($A39,'Employee Details'!$A$1:$N$141,13,0)</f>
        <v>Female</v>
      </c>
    </row>
    <row r="40" spans="1:13" x14ac:dyDescent="0.25">
      <c r="A40" s="3" t="s">
        <v>104</v>
      </c>
      <c r="B40" s="3" t="str">
        <f>VLOOKUP($A40,'Employee Details'!$A$1:$N$141,2,0)</f>
        <v>Alice Brown</v>
      </c>
      <c r="C40" s="3" t="str">
        <f>VLOOKUP($A40,'Employee Details'!$A$1:$N$141,3,0)</f>
        <v>Alice</v>
      </c>
      <c r="D40" s="3" t="str">
        <f>VLOOKUP($A40,'Employee Details'!$A$1:$N$141,4,0)</f>
        <v>Brown</v>
      </c>
      <c r="E40" s="3" t="str">
        <f>VLOOKUP($A40,'Employee Details'!$A$1:$N$141,5,0)</f>
        <v>IT</v>
      </c>
      <c r="F40" s="3" t="str">
        <f>VLOOKUP($A40,'Employee Details'!$A$1:$N$141,6,0)</f>
        <v>Germany</v>
      </c>
      <c r="G40" s="3">
        <f>VLOOKUP($A40,'Employee Details'!$A$1:$N$141,7,0)</f>
        <v>33956</v>
      </c>
      <c r="H40" s="3" t="str">
        <f>VLOOKUP($A40,'Employee Details'!$A$1:$N$141,8,0)</f>
        <v>Low Salary</v>
      </c>
      <c r="I40" s="13">
        <f>VLOOKUP($A40,'Employee Details'!$A$1:$N$141,9,0)</f>
        <v>42295</v>
      </c>
      <c r="J40" s="3" t="str">
        <f>VLOOKUP($A40,'Employee Details'!$A$1:$N$141,10,0)</f>
        <v>October</v>
      </c>
      <c r="K40" s="3">
        <f ca="1">VLOOKUP($A40,'Employee Details'!$A$1:$N$141,11,0)</f>
        <v>3865</v>
      </c>
      <c r="L40" s="3">
        <f>VLOOKUP($A40,'Employee Details'!$A$1:$N$141,12,0)</f>
        <v>3</v>
      </c>
      <c r="M40" s="3" t="str">
        <f>VLOOKUP($A40,'Employee Details'!$A$1:$N$141,13,0)</f>
        <v>Not Specified</v>
      </c>
    </row>
    <row r="41" spans="1:13" x14ac:dyDescent="0.25">
      <c r="A41" s="3" t="s">
        <v>106</v>
      </c>
      <c r="B41" s="3" t="str">
        <f>VLOOKUP($A41,'Employee Details'!$A$1:$N$141,2,0)</f>
        <v>Bob Johnson</v>
      </c>
      <c r="C41" s="3" t="str">
        <f>VLOOKUP($A41,'Employee Details'!$A$1:$N$141,3,0)</f>
        <v>Bob</v>
      </c>
      <c r="D41" s="3" t="str">
        <f>VLOOKUP($A41,'Employee Details'!$A$1:$N$141,4,0)</f>
        <v>Johnson</v>
      </c>
      <c r="E41" s="3" t="str">
        <f>VLOOKUP($A41,'Employee Details'!$A$1:$N$141,5,0)</f>
        <v>Marketing</v>
      </c>
      <c r="F41" s="3" t="str">
        <f>VLOOKUP($A41,'Employee Details'!$A$1:$N$141,6,0)</f>
        <v>Australia</v>
      </c>
      <c r="G41" s="3">
        <f>VLOOKUP($A41,'Employee Details'!$A$1:$N$141,7,0)</f>
        <v>64913</v>
      </c>
      <c r="H41" s="3" t="str">
        <f>VLOOKUP($A41,'Employee Details'!$A$1:$N$141,8,0)</f>
        <v>Good Salary</v>
      </c>
      <c r="I41" s="13">
        <f>VLOOKUP($A41,'Employee Details'!$A$1:$N$141,9,0)</f>
        <v>42302</v>
      </c>
      <c r="J41" s="3" t="str">
        <f>VLOOKUP($A41,'Employee Details'!$A$1:$N$141,10,0)</f>
        <v>October</v>
      </c>
      <c r="K41" s="3">
        <f ca="1">VLOOKUP($A41,'Employee Details'!$A$1:$N$141,11,0)</f>
        <v>3858</v>
      </c>
      <c r="L41" s="3">
        <f>VLOOKUP($A41,'Employee Details'!$A$1:$N$141,12,0)</f>
        <v>1</v>
      </c>
      <c r="M41" s="3" t="str">
        <f>VLOOKUP($A41,'Employee Details'!$A$1:$N$141,13,0)</f>
        <v>Female</v>
      </c>
    </row>
    <row r="42" spans="1:13" x14ac:dyDescent="0.25">
      <c r="A42" s="3" t="s">
        <v>108</v>
      </c>
      <c r="B42" s="3" t="str">
        <f>VLOOKUP($A42,'Employee Details'!$A$1:$N$141,2,0)</f>
        <v>Alice Brown</v>
      </c>
      <c r="C42" s="3" t="str">
        <f>VLOOKUP($A42,'Employee Details'!$A$1:$N$141,3,0)</f>
        <v>Alice</v>
      </c>
      <c r="D42" s="3" t="str">
        <f>VLOOKUP($A42,'Employee Details'!$A$1:$N$141,4,0)</f>
        <v>Brown</v>
      </c>
      <c r="E42" s="3" t="str">
        <f>VLOOKUP($A42,'Employee Details'!$A$1:$N$141,5,0)</f>
        <v>Marketing</v>
      </c>
      <c r="F42" s="3" t="str">
        <f>VLOOKUP($A42,'Employee Details'!$A$1:$N$141,6,0)</f>
        <v>Australia</v>
      </c>
      <c r="G42" s="3">
        <f>VLOOKUP($A42,'Employee Details'!$A$1:$N$141,7,0)</f>
        <v>35326</v>
      </c>
      <c r="H42" s="3" t="str">
        <f>VLOOKUP($A42,'Employee Details'!$A$1:$N$141,8,0)</f>
        <v>Low Salary</v>
      </c>
      <c r="I42" s="13">
        <f>VLOOKUP($A42,'Employee Details'!$A$1:$N$141,9,0)</f>
        <v>42309</v>
      </c>
      <c r="J42" s="3" t="str">
        <f>VLOOKUP($A42,'Employee Details'!$A$1:$N$141,10,0)</f>
        <v>November</v>
      </c>
      <c r="K42" s="3">
        <f ca="1">VLOOKUP($A42,'Employee Details'!$A$1:$N$141,11,0)</f>
        <v>3851</v>
      </c>
      <c r="L42" s="3">
        <f>VLOOKUP($A42,'Employee Details'!$A$1:$N$141,12,0)</f>
        <v>3</v>
      </c>
      <c r="M42" s="3" t="str">
        <f>VLOOKUP($A42,'Employee Details'!$A$1:$N$141,13,0)</f>
        <v>Female</v>
      </c>
    </row>
    <row r="43" spans="1:13" x14ac:dyDescent="0.25">
      <c r="A43" s="3" t="s">
        <v>110</v>
      </c>
      <c r="B43" s="3" t="str">
        <f>VLOOKUP($A43,'Employee Details'!$A$1:$N$141,2,0)</f>
        <v>Chris Lee</v>
      </c>
      <c r="C43" s="3" t="str">
        <f>VLOOKUP($A43,'Employee Details'!$A$1:$N$141,3,0)</f>
        <v>Chris</v>
      </c>
      <c r="D43" s="3" t="str">
        <f>VLOOKUP($A43,'Employee Details'!$A$1:$N$141,4,0)</f>
        <v>Lee</v>
      </c>
      <c r="E43" s="3" t="str">
        <f>VLOOKUP($A43,'Employee Details'!$A$1:$N$141,5,0)</f>
        <v>Finance</v>
      </c>
      <c r="F43" s="3" t="str">
        <f>VLOOKUP($A43,'Employee Details'!$A$1:$N$141,6,0)</f>
        <v>India</v>
      </c>
      <c r="G43" s="3">
        <f>VLOOKUP($A43,'Employee Details'!$A$1:$N$141,7,0)</f>
        <v>81610</v>
      </c>
      <c r="H43" s="3" t="str">
        <f>VLOOKUP($A43,'Employee Details'!$A$1:$N$141,8,0)</f>
        <v>High Salary</v>
      </c>
      <c r="I43" s="13">
        <f>VLOOKUP($A43,'Employee Details'!$A$1:$N$141,9,0)</f>
        <v>42316</v>
      </c>
      <c r="J43" s="3" t="str">
        <f>VLOOKUP($A43,'Employee Details'!$A$1:$N$141,10,0)</f>
        <v>November</v>
      </c>
      <c r="K43" s="3">
        <f ca="1">VLOOKUP($A43,'Employee Details'!$A$1:$N$141,11,0)</f>
        <v>3844</v>
      </c>
      <c r="L43" s="3">
        <f>VLOOKUP($A43,'Employee Details'!$A$1:$N$141,12,0)</f>
        <v>1</v>
      </c>
      <c r="M43" s="3" t="str">
        <f>VLOOKUP($A43,'Employee Details'!$A$1:$N$141,13,0)</f>
        <v>Not Specified</v>
      </c>
    </row>
    <row r="44" spans="1:13" x14ac:dyDescent="0.25">
      <c r="A44" s="3" t="s">
        <v>112</v>
      </c>
      <c r="B44" s="3" t="str">
        <f>VLOOKUP($A44,'Employee Details'!$A$1:$N$141,2,0)</f>
        <v>Chris Lee</v>
      </c>
      <c r="C44" s="3" t="str">
        <f>VLOOKUP($A44,'Employee Details'!$A$1:$N$141,3,0)</f>
        <v>Chris</v>
      </c>
      <c r="D44" s="3" t="str">
        <f>VLOOKUP($A44,'Employee Details'!$A$1:$N$141,4,0)</f>
        <v>Lee</v>
      </c>
      <c r="E44" s="3" t="str">
        <f>VLOOKUP($A44,'Employee Details'!$A$1:$N$141,5,0)</f>
        <v>IT</v>
      </c>
      <c r="F44" s="3" t="str">
        <f>VLOOKUP($A44,'Employee Details'!$A$1:$N$141,6,0)</f>
        <v>Germany</v>
      </c>
      <c r="G44" s="3">
        <f>VLOOKUP($A44,'Employee Details'!$A$1:$N$141,7,0)</f>
        <v>92701</v>
      </c>
      <c r="H44" s="3" t="str">
        <f>VLOOKUP($A44,'Employee Details'!$A$1:$N$141,8,0)</f>
        <v>High Salary</v>
      </c>
      <c r="I44" s="13">
        <f>VLOOKUP($A44,'Employee Details'!$A$1:$N$141,9,0)</f>
        <v>42330</v>
      </c>
      <c r="J44" s="3" t="str">
        <f>VLOOKUP($A44,'Employee Details'!$A$1:$N$141,10,0)</f>
        <v>November</v>
      </c>
      <c r="K44" s="3">
        <f ca="1">VLOOKUP($A44,'Employee Details'!$A$1:$N$141,11,0)</f>
        <v>3830</v>
      </c>
      <c r="L44" s="3">
        <f>VLOOKUP($A44,'Employee Details'!$A$1:$N$141,12,0)</f>
        <v>3</v>
      </c>
      <c r="M44" s="3" t="str">
        <f>VLOOKUP($A44,'Employee Details'!$A$1:$N$141,13,0)</f>
        <v>Other</v>
      </c>
    </row>
    <row r="45" spans="1:13" x14ac:dyDescent="0.25">
      <c r="A45" s="3" t="s">
        <v>114</v>
      </c>
      <c r="B45" s="3" t="str">
        <f>VLOOKUP($A45,'Employee Details'!$A$1:$N$141,2,0)</f>
        <v>Chris Lee</v>
      </c>
      <c r="C45" s="3" t="str">
        <f>VLOOKUP($A45,'Employee Details'!$A$1:$N$141,3,0)</f>
        <v>Chris</v>
      </c>
      <c r="D45" s="3" t="str">
        <f>VLOOKUP($A45,'Employee Details'!$A$1:$N$141,4,0)</f>
        <v>Lee</v>
      </c>
      <c r="E45" s="3" t="str">
        <f>VLOOKUP($A45,'Employee Details'!$A$1:$N$141,5,0)</f>
        <v>HR</v>
      </c>
      <c r="F45" s="3" t="str">
        <f>VLOOKUP($A45,'Employee Details'!$A$1:$N$141,6,0)</f>
        <v>India</v>
      </c>
      <c r="G45" s="3">
        <f>VLOOKUP($A45,'Employee Details'!$A$1:$N$141,7,0)</f>
        <v>58245</v>
      </c>
      <c r="H45" s="3" t="str">
        <f>VLOOKUP($A45,'Employee Details'!$A$1:$N$141,8,0)</f>
        <v>Good Salary</v>
      </c>
      <c r="I45" s="13">
        <f>VLOOKUP($A45,'Employee Details'!$A$1:$N$141,9,0)</f>
        <v>42337</v>
      </c>
      <c r="J45" s="3" t="str">
        <f>VLOOKUP($A45,'Employee Details'!$A$1:$N$141,10,0)</f>
        <v>November</v>
      </c>
      <c r="K45" s="3">
        <f ca="1">VLOOKUP($A45,'Employee Details'!$A$1:$N$141,11,0)</f>
        <v>3823</v>
      </c>
      <c r="L45" s="3">
        <f>VLOOKUP($A45,'Employee Details'!$A$1:$N$141,12,0)</f>
        <v>4</v>
      </c>
      <c r="M45" s="3" t="str">
        <f>VLOOKUP($A45,'Employee Details'!$A$1:$N$141,13,0)</f>
        <v>Not Specified</v>
      </c>
    </row>
    <row r="46" spans="1:13" x14ac:dyDescent="0.25">
      <c r="A46" s="3" t="s">
        <v>116</v>
      </c>
      <c r="B46" s="3" t="str">
        <f>VLOOKUP($A46,'Employee Details'!$A$1:$N$141,2,0)</f>
        <v>John Doe</v>
      </c>
      <c r="C46" s="3" t="str">
        <f>VLOOKUP($A46,'Employee Details'!$A$1:$N$141,3,0)</f>
        <v>John</v>
      </c>
      <c r="D46" s="3" t="str">
        <f>VLOOKUP($A46,'Employee Details'!$A$1:$N$141,4,0)</f>
        <v>Doe</v>
      </c>
      <c r="E46" s="3" t="str">
        <f>VLOOKUP($A46,'Employee Details'!$A$1:$N$141,5,0)</f>
        <v>Finance</v>
      </c>
      <c r="F46" s="3" t="str">
        <f>VLOOKUP($A46,'Employee Details'!$A$1:$N$141,6,0)</f>
        <v>India</v>
      </c>
      <c r="G46" s="3">
        <f>VLOOKUP($A46,'Employee Details'!$A$1:$N$141,7,0)</f>
        <v>66513</v>
      </c>
      <c r="H46" s="3" t="str">
        <f>VLOOKUP($A46,'Employee Details'!$A$1:$N$141,8,0)</f>
        <v>Good Salary</v>
      </c>
      <c r="I46" s="13">
        <f>VLOOKUP($A46,'Employee Details'!$A$1:$N$141,9,0)</f>
        <v>42344</v>
      </c>
      <c r="J46" s="3" t="str">
        <f>VLOOKUP($A46,'Employee Details'!$A$1:$N$141,10,0)</f>
        <v>December</v>
      </c>
      <c r="K46" s="3">
        <f ca="1">VLOOKUP($A46,'Employee Details'!$A$1:$N$141,11,0)</f>
        <v>3816</v>
      </c>
      <c r="L46" s="3">
        <f>VLOOKUP($A46,'Employee Details'!$A$1:$N$141,12,0)</f>
        <v>2</v>
      </c>
      <c r="M46" s="3" t="str">
        <f>VLOOKUP($A46,'Employee Details'!$A$1:$N$141,13,0)</f>
        <v>Other</v>
      </c>
    </row>
    <row r="47" spans="1:13" x14ac:dyDescent="0.25">
      <c r="A47" s="3" t="s">
        <v>117</v>
      </c>
      <c r="B47" s="3" t="str">
        <f>VLOOKUP($A47,'Employee Details'!$A$1:$N$141,2,0)</f>
        <v>Eve Adams</v>
      </c>
      <c r="C47" s="3" t="str">
        <f>VLOOKUP($A47,'Employee Details'!$A$1:$N$141,3,0)</f>
        <v>Eve</v>
      </c>
      <c r="D47" s="3" t="str">
        <f>VLOOKUP($A47,'Employee Details'!$A$1:$N$141,4,0)</f>
        <v>Adams</v>
      </c>
      <c r="E47" s="3" t="str">
        <f>VLOOKUP($A47,'Employee Details'!$A$1:$N$141,5,0)</f>
        <v>HR</v>
      </c>
      <c r="F47" s="3" t="str">
        <f>VLOOKUP($A47,'Employee Details'!$A$1:$N$141,6,0)</f>
        <v>Germany</v>
      </c>
      <c r="G47" s="3">
        <f>VLOOKUP($A47,'Employee Details'!$A$1:$N$141,7,0)</f>
        <v>78720</v>
      </c>
      <c r="H47" s="3" t="str">
        <f>VLOOKUP($A47,'Employee Details'!$A$1:$N$141,8,0)</f>
        <v>High Salary</v>
      </c>
      <c r="I47" s="13">
        <f>VLOOKUP($A47,'Employee Details'!$A$1:$N$141,9,0)</f>
        <v>42351</v>
      </c>
      <c r="J47" s="3" t="str">
        <f>VLOOKUP($A47,'Employee Details'!$A$1:$N$141,10,0)</f>
        <v>December</v>
      </c>
      <c r="K47" s="3">
        <f ca="1">VLOOKUP($A47,'Employee Details'!$A$1:$N$141,11,0)</f>
        <v>3809</v>
      </c>
      <c r="L47" s="3">
        <f>VLOOKUP($A47,'Employee Details'!$A$1:$N$141,12,0)</f>
        <v>5</v>
      </c>
      <c r="M47" s="3" t="str">
        <f>VLOOKUP($A47,'Employee Details'!$A$1:$N$141,13,0)</f>
        <v>Female</v>
      </c>
    </row>
    <row r="48" spans="1:13" x14ac:dyDescent="0.25">
      <c r="A48" s="3" t="s">
        <v>118</v>
      </c>
      <c r="B48" s="3" t="str">
        <f>VLOOKUP($A48,'Employee Details'!$A$1:$N$141,2,0)</f>
        <v>Chris Lee</v>
      </c>
      <c r="C48" s="3" t="str">
        <f>VLOOKUP($A48,'Employee Details'!$A$1:$N$141,3,0)</f>
        <v>Chris</v>
      </c>
      <c r="D48" s="3" t="str">
        <f>VLOOKUP($A48,'Employee Details'!$A$1:$N$141,4,0)</f>
        <v>Lee</v>
      </c>
      <c r="E48" s="3" t="str">
        <f>VLOOKUP($A48,'Employee Details'!$A$1:$N$141,5,0)</f>
        <v>Marketing</v>
      </c>
      <c r="F48" s="3" t="str">
        <f>VLOOKUP($A48,'Employee Details'!$A$1:$N$141,6,0)</f>
        <v>India</v>
      </c>
      <c r="G48" s="3">
        <f>VLOOKUP($A48,'Employee Details'!$A$1:$N$141,7,0)</f>
        <v>30686</v>
      </c>
      <c r="H48" s="3" t="str">
        <f>VLOOKUP($A48,'Employee Details'!$A$1:$N$141,8,0)</f>
        <v>Low Salary</v>
      </c>
      <c r="I48" s="13">
        <f>VLOOKUP($A48,'Employee Details'!$A$1:$N$141,9,0)</f>
        <v>42358</v>
      </c>
      <c r="J48" s="3" t="str">
        <f>VLOOKUP($A48,'Employee Details'!$A$1:$N$141,10,0)</f>
        <v>December</v>
      </c>
      <c r="K48" s="3">
        <f ca="1">VLOOKUP($A48,'Employee Details'!$A$1:$N$141,11,0)</f>
        <v>3802</v>
      </c>
      <c r="L48" s="3">
        <f>VLOOKUP($A48,'Employee Details'!$A$1:$N$141,12,0)</f>
        <v>2</v>
      </c>
      <c r="M48" s="3" t="str">
        <f>VLOOKUP($A48,'Employee Details'!$A$1:$N$141,13,0)</f>
        <v>Female</v>
      </c>
    </row>
    <row r="49" spans="1:13" x14ac:dyDescent="0.25">
      <c r="A49" s="3" t="s">
        <v>120</v>
      </c>
      <c r="B49" s="3" t="str">
        <f>VLOOKUP($A49,'Employee Details'!$A$1:$N$141,2,0)</f>
        <v>Sam Wilson</v>
      </c>
      <c r="C49" s="3" t="str">
        <f>VLOOKUP($A49,'Employee Details'!$A$1:$N$141,3,0)</f>
        <v>Sam</v>
      </c>
      <c r="D49" s="3" t="str">
        <f>VLOOKUP($A49,'Employee Details'!$A$1:$N$141,4,0)</f>
        <v>Wilson</v>
      </c>
      <c r="E49" s="3" t="str">
        <f>VLOOKUP($A49,'Employee Details'!$A$1:$N$141,5,0)</f>
        <v>Sales</v>
      </c>
      <c r="F49" s="3" t="str">
        <f>VLOOKUP($A49,'Employee Details'!$A$1:$N$141,6,0)</f>
        <v>India</v>
      </c>
      <c r="G49" s="3">
        <f>VLOOKUP($A49,'Employee Details'!$A$1:$N$141,7,0)</f>
        <v>39423</v>
      </c>
      <c r="H49" s="3" t="str">
        <f>VLOOKUP($A49,'Employee Details'!$A$1:$N$141,8,0)</f>
        <v>Low Salary</v>
      </c>
      <c r="I49" s="13">
        <f>VLOOKUP($A49,'Employee Details'!$A$1:$N$141,9,0)</f>
        <v>42365</v>
      </c>
      <c r="J49" s="3" t="str">
        <f>VLOOKUP($A49,'Employee Details'!$A$1:$N$141,10,0)</f>
        <v>December</v>
      </c>
      <c r="K49" s="3">
        <f ca="1">VLOOKUP($A49,'Employee Details'!$A$1:$N$141,11,0)</f>
        <v>3795</v>
      </c>
      <c r="L49" s="3">
        <f>VLOOKUP($A49,'Employee Details'!$A$1:$N$141,12,0)</f>
        <v>5</v>
      </c>
      <c r="M49" s="3" t="str">
        <f>VLOOKUP($A49,'Employee Details'!$A$1:$N$141,13,0)</f>
        <v>Not Specified</v>
      </c>
    </row>
    <row r="50" spans="1:13" x14ac:dyDescent="0.25">
      <c r="A50" s="3" t="s">
        <v>122</v>
      </c>
      <c r="B50" s="3" t="str">
        <f>VLOOKUP($A50,'Employee Details'!$A$1:$N$141,2,0)</f>
        <v>Eve Adams</v>
      </c>
      <c r="C50" s="3" t="str">
        <f>VLOOKUP($A50,'Employee Details'!$A$1:$N$141,3,0)</f>
        <v>Eve</v>
      </c>
      <c r="D50" s="3" t="str">
        <f>VLOOKUP($A50,'Employee Details'!$A$1:$N$141,4,0)</f>
        <v>Adams</v>
      </c>
      <c r="E50" s="3" t="str">
        <f>VLOOKUP($A50,'Employee Details'!$A$1:$N$141,5,0)</f>
        <v>Marketing</v>
      </c>
      <c r="F50" s="3" t="str">
        <f>VLOOKUP($A50,'Employee Details'!$A$1:$N$141,6,0)</f>
        <v>India</v>
      </c>
      <c r="G50" s="3">
        <f>VLOOKUP($A50,'Employee Details'!$A$1:$N$141,7,0)</f>
        <v>30280</v>
      </c>
      <c r="H50" s="3" t="str">
        <f>VLOOKUP($A50,'Employee Details'!$A$1:$N$141,8,0)</f>
        <v>Low Salary</v>
      </c>
      <c r="I50" s="13">
        <f>VLOOKUP($A50,'Employee Details'!$A$1:$N$141,9,0)</f>
        <v>42372</v>
      </c>
      <c r="J50" s="3" t="str">
        <f>VLOOKUP($A50,'Employee Details'!$A$1:$N$141,10,0)</f>
        <v>January</v>
      </c>
      <c r="K50" s="3">
        <f ca="1">VLOOKUP($A50,'Employee Details'!$A$1:$N$141,11,0)</f>
        <v>3788</v>
      </c>
      <c r="L50" s="3">
        <f>VLOOKUP($A50,'Employee Details'!$A$1:$N$141,12,0)</f>
        <v>1</v>
      </c>
      <c r="M50" s="3" t="str">
        <f>VLOOKUP($A50,'Employee Details'!$A$1:$N$141,13,0)</f>
        <v>Not Specified</v>
      </c>
    </row>
    <row r="51" spans="1:13" x14ac:dyDescent="0.25">
      <c r="A51" s="3" t="s">
        <v>124</v>
      </c>
      <c r="B51" s="3" t="str">
        <f>VLOOKUP($A51,'Employee Details'!$A$1:$N$141,2,0)</f>
        <v>Eve Adams</v>
      </c>
      <c r="C51" s="3" t="str">
        <f>VLOOKUP($A51,'Employee Details'!$A$1:$N$141,3,0)</f>
        <v>Eve</v>
      </c>
      <c r="D51" s="3" t="str">
        <f>VLOOKUP($A51,'Employee Details'!$A$1:$N$141,4,0)</f>
        <v>Adams</v>
      </c>
      <c r="E51" s="3" t="str">
        <f>VLOOKUP($A51,'Employee Details'!$A$1:$N$141,5,0)</f>
        <v>Finance</v>
      </c>
      <c r="F51" s="3" t="str">
        <f>VLOOKUP($A51,'Employee Details'!$A$1:$N$141,6,0)</f>
        <v>UK</v>
      </c>
      <c r="G51" s="3">
        <f>VLOOKUP($A51,'Employee Details'!$A$1:$N$141,7,0)</f>
        <v>33352</v>
      </c>
      <c r="H51" s="3" t="str">
        <f>VLOOKUP($A51,'Employee Details'!$A$1:$N$141,8,0)</f>
        <v>Low Salary</v>
      </c>
      <c r="I51" s="13">
        <f>VLOOKUP($A51,'Employee Details'!$A$1:$N$141,9,0)</f>
        <v>42379</v>
      </c>
      <c r="J51" s="3" t="str">
        <f>VLOOKUP($A51,'Employee Details'!$A$1:$N$141,10,0)</f>
        <v>January</v>
      </c>
      <c r="K51" s="3">
        <f ca="1">VLOOKUP($A51,'Employee Details'!$A$1:$N$141,11,0)</f>
        <v>3781</v>
      </c>
      <c r="L51" s="3">
        <f>VLOOKUP($A51,'Employee Details'!$A$1:$N$141,12,0)</f>
        <v>3</v>
      </c>
      <c r="M51" s="3" t="str">
        <f>VLOOKUP($A51,'Employee Details'!$A$1:$N$141,13,0)</f>
        <v>Female</v>
      </c>
    </row>
    <row r="52" spans="1:13" x14ac:dyDescent="0.25">
      <c r="A52" s="3" t="s">
        <v>125</v>
      </c>
      <c r="B52" s="3" t="str">
        <f>VLOOKUP($A52,'Employee Details'!$A$1:$N$141,2,0)</f>
        <v>Bob Johnson</v>
      </c>
      <c r="C52" s="3" t="str">
        <f>VLOOKUP($A52,'Employee Details'!$A$1:$N$141,3,0)</f>
        <v>Bob</v>
      </c>
      <c r="D52" s="3" t="str">
        <f>VLOOKUP($A52,'Employee Details'!$A$1:$N$141,4,0)</f>
        <v>Johnson</v>
      </c>
      <c r="E52" s="3" t="str">
        <f>VLOOKUP($A52,'Employee Details'!$A$1:$N$141,5,0)</f>
        <v>Marketing</v>
      </c>
      <c r="F52" s="3" t="str">
        <f>VLOOKUP($A52,'Employee Details'!$A$1:$N$141,6,0)</f>
        <v>UK</v>
      </c>
      <c r="G52" s="3">
        <f>VLOOKUP($A52,'Employee Details'!$A$1:$N$141,7,0)</f>
        <v>75633</v>
      </c>
      <c r="H52" s="3" t="str">
        <f>VLOOKUP($A52,'Employee Details'!$A$1:$N$141,8,0)</f>
        <v>High Salary</v>
      </c>
      <c r="I52" s="13">
        <f>VLOOKUP($A52,'Employee Details'!$A$1:$N$141,9,0)</f>
        <v>42386</v>
      </c>
      <c r="J52" s="3" t="str">
        <f>VLOOKUP($A52,'Employee Details'!$A$1:$N$141,10,0)</f>
        <v>January</v>
      </c>
      <c r="K52" s="3">
        <f ca="1">VLOOKUP($A52,'Employee Details'!$A$1:$N$141,11,0)</f>
        <v>3774</v>
      </c>
      <c r="L52" s="3">
        <f>VLOOKUP($A52,'Employee Details'!$A$1:$N$141,12,0)</f>
        <v>5</v>
      </c>
      <c r="M52" s="3" t="str">
        <f>VLOOKUP($A52,'Employee Details'!$A$1:$N$141,13,0)</f>
        <v>Other</v>
      </c>
    </row>
    <row r="53" spans="1:13" x14ac:dyDescent="0.25">
      <c r="A53" s="3" t="s">
        <v>127</v>
      </c>
      <c r="B53" s="3" t="str">
        <f>VLOOKUP($A53,'Employee Details'!$A$1:$N$141,2,0)</f>
        <v>Chris Lee</v>
      </c>
      <c r="C53" s="3" t="str">
        <f>VLOOKUP($A53,'Employee Details'!$A$1:$N$141,3,0)</f>
        <v>Chris</v>
      </c>
      <c r="D53" s="3" t="str">
        <f>VLOOKUP($A53,'Employee Details'!$A$1:$N$141,4,0)</f>
        <v>Lee</v>
      </c>
      <c r="E53" s="3" t="str">
        <f>VLOOKUP($A53,'Employee Details'!$A$1:$N$141,5,0)</f>
        <v>Marketing</v>
      </c>
      <c r="F53" s="3" t="str">
        <f>VLOOKUP($A53,'Employee Details'!$A$1:$N$141,6,0)</f>
        <v>USA</v>
      </c>
      <c r="G53" s="3">
        <f>VLOOKUP($A53,'Employee Details'!$A$1:$N$141,7,0)</f>
        <v>74815</v>
      </c>
      <c r="H53" s="3" t="str">
        <f>VLOOKUP($A53,'Employee Details'!$A$1:$N$141,8,0)</f>
        <v>High Salary</v>
      </c>
      <c r="I53" s="13">
        <f>VLOOKUP($A53,'Employee Details'!$A$1:$N$141,9,0)</f>
        <v>42393</v>
      </c>
      <c r="J53" s="3" t="str">
        <f>VLOOKUP($A53,'Employee Details'!$A$1:$N$141,10,0)</f>
        <v>January</v>
      </c>
      <c r="K53" s="3">
        <f ca="1">VLOOKUP($A53,'Employee Details'!$A$1:$N$141,11,0)</f>
        <v>3767</v>
      </c>
      <c r="L53" s="3">
        <f>VLOOKUP($A53,'Employee Details'!$A$1:$N$141,12,0)</f>
        <v>5</v>
      </c>
      <c r="M53" s="3" t="str">
        <f>VLOOKUP($A53,'Employee Details'!$A$1:$N$141,13,0)</f>
        <v>Female</v>
      </c>
    </row>
    <row r="54" spans="1:13" x14ac:dyDescent="0.25">
      <c r="A54" s="3" t="s">
        <v>129</v>
      </c>
      <c r="B54" s="3" t="str">
        <f>VLOOKUP($A54,'Employee Details'!$A$1:$N$141,2,0)</f>
        <v>John Doe</v>
      </c>
      <c r="C54" s="3" t="str">
        <f>VLOOKUP($A54,'Employee Details'!$A$1:$N$141,3,0)</f>
        <v>John</v>
      </c>
      <c r="D54" s="3" t="str">
        <f>VLOOKUP($A54,'Employee Details'!$A$1:$N$141,4,0)</f>
        <v>Doe</v>
      </c>
      <c r="E54" s="3" t="str">
        <f>VLOOKUP($A54,'Employee Details'!$A$1:$N$141,5,0)</f>
        <v>Sales</v>
      </c>
      <c r="F54" s="3" t="str">
        <f>VLOOKUP($A54,'Employee Details'!$A$1:$N$141,6,0)</f>
        <v>Australia</v>
      </c>
      <c r="G54" s="3">
        <f>VLOOKUP($A54,'Employee Details'!$A$1:$N$141,7,0)</f>
        <v>60011</v>
      </c>
      <c r="H54" s="3" t="str">
        <f>VLOOKUP($A54,'Employee Details'!$A$1:$N$141,8,0)</f>
        <v>Good Salary</v>
      </c>
      <c r="I54" s="13">
        <f>VLOOKUP($A54,'Employee Details'!$A$1:$N$141,9,0)</f>
        <v>42400</v>
      </c>
      <c r="J54" s="3" t="str">
        <f>VLOOKUP($A54,'Employee Details'!$A$1:$N$141,10,0)</f>
        <v>January</v>
      </c>
      <c r="K54" s="3">
        <f ca="1">VLOOKUP($A54,'Employee Details'!$A$1:$N$141,11,0)</f>
        <v>3760</v>
      </c>
      <c r="L54" s="3">
        <f>VLOOKUP($A54,'Employee Details'!$A$1:$N$141,12,0)</f>
        <v>1</v>
      </c>
      <c r="M54" s="3" t="str">
        <f>VLOOKUP($A54,'Employee Details'!$A$1:$N$141,13,0)</f>
        <v>Male</v>
      </c>
    </row>
    <row r="55" spans="1:13" x14ac:dyDescent="0.25">
      <c r="A55" s="3" t="s">
        <v>131</v>
      </c>
      <c r="B55" s="3" t="str">
        <f>VLOOKUP($A55,'Employee Details'!$A$1:$N$141,2,0)</f>
        <v>Eve Adams</v>
      </c>
      <c r="C55" s="3" t="str">
        <f>VLOOKUP($A55,'Employee Details'!$A$1:$N$141,3,0)</f>
        <v>Eve</v>
      </c>
      <c r="D55" s="3" t="str">
        <f>VLOOKUP($A55,'Employee Details'!$A$1:$N$141,4,0)</f>
        <v>Adams</v>
      </c>
      <c r="E55" s="3" t="str">
        <f>VLOOKUP($A55,'Employee Details'!$A$1:$N$141,5,0)</f>
        <v>Marketing</v>
      </c>
      <c r="F55" s="3" t="str">
        <f>VLOOKUP($A55,'Employee Details'!$A$1:$N$141,6,0)</f>
        <v>India</v>
      </c>
      <c r="G55" s="3">
        <f>VLOOKUP($A55,'Employee Details'!$A$1:$N$141,7,0)</f>
        <v>96949</v>
      </c>
      <c r="H55" s="3" t="str">
        <f>VLOOKUP($A55,'Employee Details'!$A$1:$N$141,8,0)</f>
        <v>High Salary</v>
      </c>
      <c r="I55" s="13">
        <f>VLOOKUP($A55,'Employee Details'!$A$1:$N$141,9,0)</f>
        <v>42407</v>
      </c>
      <c r="J55" s="3" t="str">
        <f>VLOOKUP($A55,'Employee Details'!$A$1:$N$141,10,0)</f>
        <v>February</v>
      </c>
      <c r="K55" s="3">
        <f ca="1">VLOOKUP($A55,'Employee Details'!$A$1:$N$141,11,0)</f>
        <v>3753</v>
      </c>
      <c r="L55" s="3">
        <f>VLOOKUP($A55,'Employee Details'!$A$1:$N$141,12,0)</f>
        <v>3</v>
      </c>
      <c r="M55" s="3" t="str">
        <f>VLOOKUP($A55,'Employee Details'!$A$1:$N$141,13,0)</f>
        <v>Not Specified</v>
      </c>
    </row>
    <row r="56" spans="1:13" x14ac:dyDescent="0.25">
      <c r="A56" s="3" t="s">
        <v>132</v>
      </c>
      <c r="B56" s="3" t="str">
        <f>VLOOKUP($A56,'Employee Details'!$A$1:$N$141,2,0)</f>
        <v>Sam Wilson</v>
      </c>
      <c r="C56" s="3" t="str">
        <f>VLOOKUP($A56,'Employee Details'!$A$1:$N$141,3,0)</f>
        <v>Sam</v>
      </c>
      <c r="D56" s="3" t="str">
        <f>VLOOKUP($A56,'Employee Details'!$A$1:$N$141,4,0)</f>
        <v>Wilson</v>
      </c>
      <c r="E56" s="3" t="str">
        <f>VLOOKUP($A56,'Employee Details'!$A$1:$N$141,5,0)</f>
        <v>Marketing</v>
      </c>
      <c r="F56" s="3" t="str">
        <f>VLOOKUP($A56,'Employee Details'!$A$1:$N$141,6,0)</f>
        <v>India</v>
      </c>
      <c r="G56" s="3">
        <f>VLOOKUP($A56,'Employee Details'!$A$1:$N$141,7,0)</f>
        <v>84924</v>
      </c>
      <c r="H56" s="3" t="str">
        <f>VLOOKUP($A56,'Employee Details'!$A$1:$N$141,8,0)</f>
        <v>High Salary</v>
      </c>
      <c r="I56" s="13">
        <f>VLOOKUP($A56,'Employee Details'!$A$1:$N$141,9,0)</f>
        <v>42414</v>
      </c>
      <c r="J56" s="3" t="str">
        <f>VLOOKUP($A56,'Employee Details'!$A$1:$N$141,10,0)</f>
        <v>February</v>
      </c>
      <c r="K56" s="3">
        <f ca="1">VLOOKUP($A56,'Employee Details'!$A$1:$N$141,11,0)</f>
        <v>3746</v>
      </c>
      <c r="L56" s="3">
        <f>VLOOKUP($A56,'Employee Details'!$A$1:$N$141,12,0)</f>
        <v>5</v>
      </c>
      <c r="M56" s="3" t="str">
        <f>VLOOKUP($A56,'Employee Details'!$A$1:$N$141,13,0)</f>
        <v>Male</v>
      </c>
    </row>
    <row r="57" spans="1:13" x14ac:dyDescent="0.25">
      <c r="A57" s="3" t="s">
        <v>134</v>
      </c>
      <c r="B57" s="3" t="str">
        <f>VLOOKUP($A57,'Employee Details'!$A$1:$N$141,2,0)</f>
        <v>Sam Wilson</v>
      </c>
      <c r="C57" s="3" t="str">
        <f>VLOOKUP($A57,'Employee Details'!$A$1:$N$141,3,0)</f>
        <v>Sam</v>
      </c>
      <c r="D57" s="3" t="str">
        <f>VLOOKUP($A57,'Employee Details'!$A$1:$N$141,4,0)</f>
        <v>Wilson</v>
      </c>
      <c r="E57" s="3" t="str">
        <f>VLOOKUP($A57,'Employee Details'!$A$1:$N$141,5,0)</f>
        <v>Finance</v>
      </c>
      <c r="F57" s="3" t="str">
        <f>VLOOKUP($A57,'Employee Details'!$A$1:$N$141,6,0)</f>
        <v>USA</v>
      </c>
      <c r="G57" s="3">
        <f>VLOOKUP($A57,'Employee Details'!$A$1:$N$141,7,0)</f>
        <v>82033</v>
      </c>
      <c r="H57" s="3" t="str">
        <f>VLOOKUP($A57,'Employee Details'!$A$1:$N$141,8,0)</f>
        <v>High Salary</v>
      </c>
      <c r="I57" s="13">
        <f>VLOOKUP($A57,'Employee Details'!$A$1:$N$141,9,0)</f>
        <v>42421</v>
      </c>
      <c r="J57" s="3" t="str">
        <f>VLOOKUP($A57,'Employee Details'!$A$1:$N$141,10,0)</f>
        <v>February</v>
      </c>
      <c r="K57" s="3">
        <f ca="1">VLOOKUP($A57,'Employee Details'!$A$1:$N$141,11,0)</f>
        <v>3739</v>
      </c>
      <c r="L57" s="3">
        <f>VLOOKUP($A57,'Employee Details'!$A$1:$N$141,12,0)</f>
        <v>1</v>
      </c>
      <c r="M57" s="3" t="str">
        <f>VLOOKUP($A57,'Employee Details'!$A$1:$N$141,13,0)</f>
        <v>Not Specified</v>
      </c>
    </row>
    <row r="58" spans="1:13" x14ac:dyDescent="0.25">
      <c r="A58" s="3" t="s">
        <v>136</v>
      </c>
      <c r="B58" s="3" t="str">
        <f>VLOOKUP($A58,'Employee Details'!$A$1:$N$141,2,0)</f>
        <v>Eve Adams</v>
      </c>
      <c r="C58" s="3" t="str">
        <f>VLOOKUP($A58,'Employee Details'!$A$1:$N$141,3,0)</f>
        <v>Eve</v>
      </c>
      <c r="D58" s="3" t="str">
        <f>VLOOKUP($A58,'Employee Details'!$A$1:$N$141,4,0)</f>
        <v>Adams</v>
      </c>
      <c r="E58" s="3" t="str">
        <f>VLOOKUP($A58,'Employee Details'!$A$1:$N$141,5,0)</f>
        <v>Marketing</v>
      </c>
      <c r="F58" s="3" t="str">
        <f>VLOOKUP($A58,'Employee Details'!$A$1:$N$141,6,0)</f>
        <v>Australia</v>
      </c>
      <c r="G58" s="3">
        <f>VLOOKUP($A58,'Employee Details'!$A$1:$N$141,7,0)</f>
        <v>31499</v>
      </c>
      <c r="H58" s="3" t="str">
        <f>VLOOKUP($A58,'Employee Details'!$A$1:$N$141,8,0)</f>
        <v>Low Salary</v>
      </c>
      <c r="I58" s="13">
        <f>VLOOKUP($A58,'Employee Details'!$A$1:$N$141,9,0)</f>
        <v>42435</v>
      </c>
      <c r="J58" s="3" t="str">
        <f>VLOOKUP($A58,'Employee Details'!$A$1:$N$141,10,0)</f>
        <v>March</v>
      </c>
      <c r="K58" s="3">
        <f ca="1">VLOOKUP($A58,'Employee Details'!$A$1:$N$141,11,0)</f>
        <v>3725</v>
      </c>
      <c r="L58" s="3">
        <f>VLOOKUP($A58,'Employee Details'!$A$1:$N$141,12,0)</f>
        <v>2</v>
      </c>
      <c r="M58" s="3" t="str">
        <f>VLOOKUP($A58,'Employee Details'!$A$1:$N$141,13,0)</f>
        <v>Not Specified</v>
      </c>
    </row>
    <row r="59" spans="1:13" x14ac:dyDescent="0.25">
      <c r="A59" s="3" t="s">
        <v>137</v>
      </c>
      <c r="B59" s="3" t="str">
        <f>VLOOKUP($A59,'Employee Details'!$A$1:$N$141,2,0)</f>
        <v>Chris Lee</v>
      </c>
      <c r="C59" s="3" t="str">
        <f>VLOOKUP($A59,'Employee Details'!$A$1:$N$141,3,0)</f>
        <v>Chris</v>
      </c>
      <c r="D59" s="3" t="str">
        <f>VLOOKUP($A59,'Employee Details'!$A$1:$N$141,4,0)</f>
        <v>Lee</v>
      </c>
      <c r="E59" s="3" t="str">
        <f>VLOOKUP($A59,'Employee Details'!$A$1:$N$141,5,0)</f>
        <v>IT</v>
      </c>
      <c r="F59" s="3" t="str">
        <f>VLOOKUP($A59,'Employee Details'!$A$1:$N$141,6,0)</f>
        <v>UK</v>
      </c>
      <c r="G59" s="3">
        <f>VLOOKUP($A59,'Employee Details'!$A$1:$N$141,7,0)</f>
        <v>97981</v>
      </c>
      <c r="H59" s="3" t="str">
        <f>VLOOKUP($A59,'Employee Details'!$A$1:$N$141,8,0)</f>
        <v>High Salary</v>
      </c>
      <c r="I59" s="13">
        <f>VLOOKUP($A59,'Employee Details'!$A$1:$N$141,9,0)</f>
        <v>42442</v>
      </c>
      <c r="J59" s="3" t="str">
        <f>VLOOKUP($A59,'Employee Details'!$A$1:$N$141,10,0)</f>
        <v>March</v>
      </c>
      <c r="K59" s="3">
        <f ca="1">VLOOKUP($A59,'Employee Details'!$A$1:$N$141,11,0)</f>
        <v>3718</v>
      </c>
      <c r="L59" s="3">
        <f>VLOOKUP($A59,'Employee Details'!$A$1:$N$141,12,0)</f>
        <v>5</v>
      </c>
      <c r="M59" s="3" t="str">
        <f>VLOOKUP($A59,'Employee Details'!$A$1:$N$141,13,0)</f>
        <v>Female</v>
      </c>
    </row>
    <row r="60" spans="1:13" x14ac:dyDescent="0.25">
      <c r="A60" s="3" t="s">
        <v>139</v>
      </c>
      <c r="B60" s="3" t="str">
        <f>VLOOKUP($A60,'Employee Details'!$A$1:$N$141,2,0)</f>
        <v>Eve Adams</v>
      </c>
      <c r="C60" s="3" t="str">
        <f>VLOOKUP($A60,'Employee Details'!$A$1:$N$141,3,0)</f>
        <v>Eve</v>
      </c>
      <c r="D60" s="3" t="str">
        <f>VLOOKUP($A60,'Employee Details'!$A$1:$N$141,4,0)</f>
        <v>Adams</v>
      </c>
      <c r="E60" s="3" t="str">
        <f>VLOOKUP($A60,'Employee Details'!$A$1:$N$141,5,0)</f>
        <v>HR</v>
      </c>
      <c r="F60" s="3" t="str">
        <f>VLOOKUP($A60,'Employee Details'!$A$1:$N$141,6,0)</f>
        <v>USA</v>
      </c>
      <c r="G60" s="3">
        <f>VLOOKUP($A60,'Employee Details'!$A$1:$N$141,7,0)</f>
        <v>36541</v>
      </c>
      <c r="H60" s="3" t="str">
        <f>VLOOKUP($A60,'Employee Details'!$A$1:$N$141,8,0)</f>
        <v>Low Salary</v>
      </c>
      <c r="I60" s="13">
        <f>VLOOKUP($A60,'Employee Details'!$A$1:$N$141,9,0)</f>
        <v>42449</v>
      </c>
      <c r="J60" s="3" t="str">
        <f>VLOOKUP($A60,'Employee Details'!$A$1:$N$141,10,0)</f>
        <v>March</v>
      </c>
      <c r="K60" s="3">
        <f ca="1">VLOOKUP($A60,'Employee Details'!$A$1:$N$141,11,0)</f>
        <v>3711</v>
      </c>
      <c r="L60" s="3">
        <f>VLOOKUP($A60,'Employee Details'!$A$1:$N$141,12,0)</f>
        <v>2</v>
      </c>
      <c r="M60" s="3" t="str">
        <f>VLOOKUP($A60,'Employee Details'!$A$1:$N$141,13,0)</f>
        <v>Other</v>
      </c>
    </row>
    <row r="61" spans="1:13" x14ac:dyDescent="0.25">
      <c r="A61" s="3" t="s">
        <v>141</v>
      </c>
      <c r="B61" s="3" t="str">
        <f>VLOOKUP($A61,'Employee Details'!$A$1:$N$141,2,0)</f>
        <v>John Doe</v>
      </c>
      <c r="C61" s="3" t="str">
        <f>VLOOKUP($A61,'Employee Details'!$A$1:$N$141,3,0)</f>
        <v>John</v>
      </c>
      <c r="D61" s="3" t="str">
        <f>VLOOKUP($A61,'Employee Details'!$A$1:$N$141,4,0)</f>
        <v>Doe</v>
      </c>
      <c r="E61" s="3" t="str">
        <f>VLOOKUP($A61,'Employee Details'!$A$1:$N$141,5,0)</f>
        <v>IT</v>
      </c>
      <c r="F61" s="3" t="str">
        <f>VLOOKUP($A61,'Employee Details'!$A$1:$N$141,6,0)</f>
        <v>India</v>
      </c>
      <c r="G61" s="3">
        <f>VLOOKUP($A61,'Employee Details'!$A$1:$N$141,7,0)</f>
        <v>84737</v>
      </c>
      <c r="H61" s="3" t="str">
        <f>VLOOKUP($A61,'Employee Details'!$A$1:$N$141,8,0)</f>
        <v>High Salary</v>
      </c>
      <c r="I61" s="13">
        <f>VLOOKUP($A61,'Employee Details'!$A$1:$N$141,9,0)</f>
        <v>42456</v>
      </c>
      <c r="J61" s="3" t="str">
        <f>VLOOKUP($A61,'Employee Details'!$A$1:$N$141,10,0)</f>
        <v>March</v>
      </c>
      <c r="K61" s="3">
        <f ca="1">VLOOKUP($A61,'Employee Details'!$A$1:$N$141,11,0)</f>
        <v>3704</v>
      </c>
      <c r="L61" s="3">
        <f>VLOOKUP($A61,'Employee Details'!$A$1:$N$141,12,0)</f>
        <v>1</v>
      </c>
      <c r="M61" s="3" t="str">
        <f>VLOOKUP($A61,'Employee Details'!$A$1:$N$141,13,0)</f>
        <v>Male</v>
      </c>
    </row>
    <row r="62" spans="1:13" x14ac:dyDescent="0.25">
      <c r="A62" s="3" t="s">
        <v>143</v>
      </c>
      <c r="B62" s="3" t="str">
        <f>VLOOKUP($A62,'Employee Details'!$A$1:$N$141,2,0)</f>
        <v>Sam Wilson</v>
      </c>
      <c r="C62" s="3" t="str">
        <f>VLOOKUP($A62,'Employee Details'!$A$1:$N$141,3,0)</f>
        <v>Sam</v>
      </c>
      <c r="D62" s="3" t="str">
        <f>VLOOKUP($A62,'Employee Details'!$A$1:$N$141,4,0)</f>
        <v>Wilson</v>
      </c>
      <c r="E62" s="3" t="str">
        <f>VLOOKUP($A62,'Employee Details'!$A$1:$N$141,5,0)</f>
        <v>Finance</v>
      </c>
      <c r="F62" s="3" t="str">
        <f>VLOOKUP($A62,'Employee Details'!$A$1:$N$141,6,0)</f>
        <v>India</v>
      </c>
      <c r="G62" s="3">
        <f>VLOOKUP($A62,'Employee Details'!$A$1:$N$141,7,0)</f>
        <v>33468</v>
      </c>
      <c r="H62" s="3" t="str">
        <f>VLOOKUP($A62,'Employee Details'!$A$1:$N$141,8,0)</f>
        <v>Low Salary</v>
      </c>
      <c r="I62" s="13">
        <f>VLOOKUP($A62,'Employee Details'!$A$1:$N$141,9,0)</f>
        <v>42463</v>
      </c>
      <c r="J62" s="3" t="str">
        <f>VLOOKUP($A62,'Employee Details'!$A$1:$N$141,10,0)</f>
        <v>April</v>
      </c>
      <c r="K62" s="3">
        <f ca="1">VLOOKUP($A62,'Employee Details'!$A$1:$N$141,11,0)</f>
        <v>3697</v>
      </c>
      <c r="L62" s="3">
        <f>VLOOKUP($A62,'Employee Details'!$A$1:$N$141,12,0)</f>
        <v>4</v>
      </c>
      <c r="M62" s="3" t="str">
        <f>VLOOKUP($A62,'Employee Details'!$A$1:$N$141,13,0)</f>
        <v>Male</v>
      </c>
    </row>
    <row r="63" spans="1:13" x14ac:dyDescent="0.25">
      <c r="A63" s="3" t="s">
        <v>145</v>
      </c>
      <c r="B63" s="3" t="str">
        <f>VLOOKUP($A63,'Employee Details'!$A$1:$N$141,2,0)</f>
        <v>Sam Wilson</v>
      </c>
      <c r="C63" s="3" t="str">
        <f>VLOOKUP($A63,'Employee Details'!$A$1:$N$141,3,0)</f>
        <v>Sam</v>
      </c>
      <c r="D63" s="3" t="str">
        <f>VLOOKUP($A63,'Employee Details'!$A$1:$N$141,4,0)</f>
        <v>Wilson</v>
      </c>
      <c r="E63" s="3" t="str">
        <f>VLOOKUP($A63,'Employee Details'!$A$1:$N$141,5,0)</f>
        <v>Marketing</v>
      </c>
      <c r="F63" s="3" t="str">
        <f>VLOOKUP($A63,'Employee Details'!$A$1:$N$141,6,0)</f>
        <v>Australia</v>
      </c>
      <c r="G63" s="3">
        <f>VLOOKUP($A63,'Employee Details'!$A$1:$N$141,7,0)</f>
        <v>96365</v>
      </c>
      <c r="H63" s="3" t="str">
        <f>VLOOKUP($A63,'Employee Details'!$A$1:$N$141,8,0)</f>
        <v>High Salary</v>
      </c>
      <c r="I63" s="13">
        <f>VLOOKUP($A63,'Employee Details'!$A$1:$N$141,9,0)</f>
        <v>42470</v>
      </c>
      <c r="J63" s="3" t="str">
        <f>VLOOKUP($A63,'Employee Details'!$A$1:$N$141,10,0)</f>
        <v>April</v>
      </c>
      <c r="K63" s="3">
        <f ca="1">VLOOKUP($A63,'Employee Details'!$A$1:$N$141,11,0)</f>
        <v>3690</v>
      </c>
      <c r="L63" s="3">
        <f>VLOOKUP($A63,'Employee Details'!$A$1:$N$141,12,0)</f>
        <v>3</v>
      </c>
      <c r="M63" s="3" t="str">
        <f>VLOOKUP($A63,'Employee Details'!$A$1:$N$141,13,0)</f>
        <v>Other</v>
      </c>
    </row>
    <row r="64" spans="1:13" x14ac:dyDescent="0.25">
      <c r="A64" s="3" t="s">
        <v>147</v>
      </c>
      <c r="B64" s="3" t="str">
        <f>VLOOKUP($A64,'Employee Details'!$A$1:$N$141,2,0)</f>
        <v>Alice Brown</v>
      </c>
      <c r="C64" s="3" t="str">
        <f>VLOOKUP($A64,'Employee Details'!$A$1:$N$141,3,0)</f>
        <v>Alice</v>
      </c>
      <c r="D64" s="3" t="str">
        <f>VLOOKUP($A64,'Employee Details'!$A$1:$N$141,4,0)</f>
        <v>Brown</v>
      </c>
      <c r="E64" s="3" t="str">
        <f>VLOOKUP($A64,'Employee Details'!$A$1:$N$141,5,0)</f>
        <v>Sales</v>
      </c>
      <c r="F64" s="3" t="str">
        <f>VLOOKUP($A64,'Employee Details'!$A$1:$N$141,6,0)</f>
        <v>India</v>
      </c>
      <c r="G64" s="3">
        <f>VLOOKUP($A64,'Employee Details'!$A$1:$N$141,7,0)</f>
        <v>61942</v>
      </c>
      <c r="H64" s="3" t="str">
        <f>VLOOKUP($A64,'Employee Details'!$A$1:$N$141,8,0)</f>
        <v>Good Salary</v>
      </c>
      <c r="I64" s="13">
        <f>VLOOKUP($A64,'Employee Details'!$A$1:$N$141,9,0)</f>
        <v>42477</v>
      </c>
      <c r="J64" s="3" t="str">
        <f>VLOOKUP($A64,'Employee Details'!$A$1:$N$141,10,0)</f>
        <v>April</v>
      </c>
      <c r="K64" s="3">
        <f ca="1">VLOOKUP($A64,'Employee Details'!$A$1:$N$141,11,0)</f>
        <v>3683</v>
      </c>
      <c r="L64" s="3">
        <f>VLOOKUP($A64,'Employee Details'!$A$1:$N$141,12,0)</f>
        <v>3</v>
      </c>
      <c r="M64" s="3" t="str">
        <f>VLOOKUP($A64,'Employee Details'!$A$1:$N$141,13,0)</f>
        <v>Female</v>
      </c>
    </row>
    <row r="65" spans="1:13" x14ac:dyDescent="0.25">
      <c r="A65" s="3" t="s">
        <v>149</v>
      </c>
      <c r="B65" s="3" t="str">
        <f>VLOOKUP($A65,'Employee Details'!$A$1:$N$141,2,0)</f>
        <v>Sam Wilson</v>
      </c>
      <c r="C65" s="3" t="str">
        <f>VLOOKUP($A65,'Employee Details'!$A$1:$N$141,3,0)</f>
        <v>Sam</v>
      </c>
      <c r="D65" s="3" t="str">
        <f>VLOOKUP($A65,'Employee Details'!$A$1:$N$141,4,0)</f>
        <v>Wilson</v>
      </c>
      <c r="E65" s="3" t="str">
        <f>VLOOKUP($A65,'Employee Details'!$A$1:$N$141,5,0)</f>
        <v>Finance</v>
      </c>
      <c r="F65" s="3" t="str">
        <f>VLOOKUP($A65,'Employee Details'!$A$1:$N$141,6,0)</f>
        <v>UK</v>
      </c>
      <c r="G65" s="3">
        <f>VLOOKUP($A65,'Employee Details'!$A$1:$N$141,7,0)</f>
        <v>41467</v>
      </c>
      <c r="H65" s="3" t="str">
        <f>VLOOKUP($A65,'Employee Details'!$A$1:$N$141,8,0)</f>
        <v>Good Salary</v>
      </c>
      <c r="I65" s="13">
        <f>VLOOKUP($A65,'Employee Details'!$A$1:$N$141,9,0)</f>
        <v>42484</v>
      </c>
      <c r="J65" s="3" t="str">
        <f>VLOOKUP($A65,'Employee Details'!$A$1:$N$141,10,0)</f>
        <v>April</v>
      </c>
      <c r="K65" s="3">
        <f ca="1">VLOOKUP($A65,'Employee Details'!$A$1:$N$141,11,0)</f>
        <v>3676</v>
      </c>
      <c r="L65" s="3">
        <f>VLOOKUP($A65,'Employee Details'!$A$1:$N$141,12,0)</f>
        <v>2</v>
      </c>
      <c r="M65" s="3" t="str">
        <f>VLOOKUP($A65,'Employee Details'!$A$1:$N$141,13,0)</f>
        <v>Not Specified</v>
      </c>
    </row>
    <row r="66" spans="1:13" x14ac:dyDescent="0.25">
      <c r="A66" s="3" t="s">
        <v>150</v>
      </c>
      <c r="B66" s="3" t="str">
        <f>VLOOKUP($A66,'Employee Details'!$A$1:$N$141,2,0)</f>
        <v>Bob Johnson</v>
      </c>
      <c r="C66" s="3" t="str">
        <f>VLOOKUP($A66,'Employee Details'!$A$1:$N$141,3,0)</f>
        <v>Bob</v>
      </c>
      <c r="D66" s="3" t="str">
        <f>VLOOKUP($A66,'Employee Details'!$A$1:$N$141,4,0)</f>
        <v>Johnson</v>
      </c>
      <c r="E66" s="3" t="str">
        <f>VLOOKUP($A66,'Employee Details'!$A$1:$N$141,5,0)</f>
        <v>Finance</v>
      </c>
      <c r="F66" s="3" t="str">
        <f>VLOOKUP($A66,'Employee Details'!$A$1:$N$141,6,0)</f>
        <v>India</v>
      </c>
      <c r="G66" s="3">
        <f>VLOOKUP($A66,'Employee Details'!$A$1:$N$141,7,0)</f>
        <v>77096</v>
      </c>
      <c r="H66" s="3" t="str">
        <f>VLOOKUP($A66,'Employee Details'!$A$1:$N$141,8,0)</f>
        <v>High Salary</v>
      </c>
      <c r="I66" s="13">
        <f>VLOOKUP($A66,'Employee Details'!$A$1:$N$141,9,0)</f>
        <v>42491</v>
      </c>
      <c r="J66" s="3" t="str">
        <f>VLOOKUP($A66,'Employee Details'!$A$1:$N$141,10,0)</f>
        <v>May</v>
      </c>
      <c r="K66" s="3">
        <f ca="1">VLOOKUP($A66,'Employee Details'!$A$1:$N$141,11,0)</f>
        <v>3669</v>
      </c>
      <c r="L66" s="3">
        <f>VLOOKUP($A66,'Employee Details'!$A$1:$N$141,12,0)</f>
        <v>1</v>
      </c>
      <c r="M66" s="3" t="str">
        <f>VLOOKUP($A66,'Employee Details'!$A$1:$N$141,13,0)</f>
        <v>Not Specified</v>
      </c>
    </row>
    <row r="67" spans="1:13" x14ac:dyDescent="0.25">
      <c r="A67" s="3" t="s">
        <v>152</v>
      </c>
      <c r="B67" s="3" t="str">
        <f>VLOOKUP($A67,'Employee Details'!$A$1:$N$141,2,0)</f>
        <v>Eve Adams</v>
      </c>
      <c r="C67" s="3" t="str">
        <f>VLOOKUP($A67,'Employee Details'!$A$1:$N$141,3,0)</f>
        <v>Eve</v>
      </c>
      <c r="D67" s="3" t="str">
        <f>VLOOKUP($A67,'Employee Details'!$A$1:$N$141,4,0)</f>
        <v>Adams</v>
      </c>
      <c r="E67" s="3" t="str">
        <f>VLOOKUP($A67,'Employee Details'!$A$1:$N$141,5,0)</f>
        <v>Sales</v>
      </c>
      <c r="F67" s="3" t="str">
        <f>VLOOKUP($A67,'Employee Details'!$A$1:$N$141,6,0)</f>
        <v>Australia</v>
      </c>
      <c r="G67" s="3">
        <f>VLOOKUP($A67,'Employee Details'!$A$1:$N$141,7,0)</f>
        <v>69952</v>
      </c>
      <c r="H67" s="3" t="str">
        <f>VLOOKUP($A67,'Employee Details'!$A$1:$N$141,8,0)</f>
        <v>Good Salary</v>
      </c>
      <c r="I67" s="13">
        <f>VLOOKUP($A67,'Employee Details'!$A$1:$N$141,9,0)</f>
        <v>42498</v>
      </c>
      <c r="J67" s="3" t="str">
        <f>VLOOKUP($A67,'Employee Details'!$A$1:$N$141,10,0)</f>
        <v>May</v>
      </c>
      <c r="K67" s="3">
        <f ca="1">VLOOKUP($A67,'Employee Details'!$A$1:$N$141,11,0)</f>
        <v>3662</v>
      </c>
      <c r="L67" s="3">
        <f>VLOOKUP($A67,'Employee Details'!$A$1:$N$141,12,0)</f>
        <v>5</v>
      </c>
      <c r="M67" s="3" t="str">
        <f>VLOOKUP($A67,'Employee Details'!$A$1:$N$141,13,0)</f>
        <v>Female</v>
      </c>
    </row>
    <row r="68" spans="1:13" x14ac:dyDescent="0.25">
      <c r="A68" s="3" t="s">
        <v>153</v>
      </c>
      <c r="B68" s="3" t="str">
        <f>VLOOKUP($A68,'Employee Details'!$A$1:$N$141,2,0)</f>
        <v>Eve Adams</v>
      </c>
      <c r="C68" s="3" t="str">
        <f>VLOOKUP($A68,'Employee Details'!$A$1:$N$141,3,0)</f>
        <v>Eve</v>
      </c>
      <c r="D68" s="3" t="str">
        <f>VLOOKUP($A68,'Employee Details'!$A$1:$N$141,4,0)</f>
        <v>Adams</v>
      </c>
      <c r="E68" s="3" t="str">
        <f>VLOOKUP($A68,'Employee Details'!$A$1:$N$141,5,0)</f>
        <v>Marketing</v>
      </c>
      <c r="F68" s="3" t="str">
        <f>VLOOKUP($A68,'Employee Details'!$A$1:$N$141,6,0)</f>
        <v>USA</v>
      </c>
      <c r="G68" s="3">
        <f>VLOOKUP($A68,'Employee Details'!$A$1:$N$141,7,0)</f>
        <v>85065</v>
      </c>
      <c r="H68" s="3" t="str">
        <f>VLOOKUP($A68,'Employee Details'!$A$1:$N$141,8,0)</f>
        <v>High Salary</v>
      </c>
      <c r="I68" s="13">
        <f>VLOOKUP($A68,'Employee Details'!$A$1:$N$141,9,0)</f>
        <v>42505</v>
      </c>
      <c r="J68" s="3" t="str">
        <f>VLOOKUP($A68,'Employee Details'!$A$1:$N$141,10,0)</f>
        <v>May</v>
      </c>
      <c r="K68" s="3">
        <f ca="1">VLOOKUP($A68,'Employee Details'!$A$1:$N$141,11,0)</f>
        <v>3655</v>
      </c>
      <c r="L68" s="3">
        <f>VLOOKUP($A68,'Employee Details'!$A$1:$N$141,12,0)</f>
        <v>3</v>
      </c>
      <c r="M68" s="3" t="str">
        <f>VLOOKUP($A68,'Employee Details'!$A$1:$N$141,13,0)</f>
        <v>Not Specified</v>
      </c>
    </row>
    <row r="69" spans="1:13" x14ac:dyDescent="0.25">
      <c r="A69" s="3" t="s">
        <v>155</v>
      </c>
      <c r="B69" s="3" t="str">
        <f>VLOOKUP($A69,'Employee Details'!$A$1:$N$141,2,0)</f>
        <v>Bob Johnson</v>
      </c>
      <c r="C69" s="3" t="str">
        <f>VLOOKUP($A69,'Employee Details'!$A$1:$N$141,3,0)</f>
        <v>Bob</v>
      </c>
      <c r="D69" s="3" t="str">
        <f>VLOOKUP($A69,'Employee Details'!$A$1:$N$141,4,0)</f>
        <v>Johnson</v>
      </c>
      <c r="E69" s="3" t="str">
        <f>VLOOKUP($A69,'Employee Details'!$A$1:$N$141,5,0)</f>
        <v>Marketing</v>
      </c>
      <c r="F69" s="3" t="str">
        <f>VLOOKUP($A69,'Employee Details'!$A$1:$N$141,6,0)</f>
        <v>India</v>
      </c>
      <c r="G69" s="3">
        <f>VLOOKUP($A69,'Employee Details'!$A$1:$N$141,7,0)</f>
        <v>56512</v>
      </c>
      <c r="H69" s="3" t="str">
        <f>VLOOKUP($A69,'Employee Details'!$A$1:$N$141,8,0)</f>
        <v>Good Salary</v>
      </c>
      <c r="I69" s="13">
        <f>VLOOKUP($A69,'Employee Details'!$A$1:$N$141,9,0)</f>
        <v>42512</v>
      </c>
      <c r="J69" s="3" t="str">
        <f>VLOOKUP($A69,'Employee Details'!$A$1:$N$141,10,0)</f>
        <v>May</v>
      </c>
      <c r="K69" s="3">
        <f ca="1">VLOOKUP($A69,'Employee Details'!$A$1:$N$141,11,0)</f>
        <v>3648</v>
      </c>
      <c r="L69" s="3">
        <f>VLOOKUP($A69,'Employee Details'!$A$1:$N$141,12,0)</f>
        <v>3</v>
      </c>
      <c r="M69" s="3" t="str">
        <f>VLOOKUP($A69,'Employee Details'!$A$1:$N$141,13,0)</f>
        <v>Other</v>
      </c>
    </row>
    <row r="70" spans="1:13" x14ac:dyDescent="0.25">
      <c r="A70" s="3" t="s">
        <v>156</v>
      </c>
      <c r="B70" s="3" t="str">
        <f>VLOOKUP($A70,'Employee Details'!$A$1:$N$141,2,0)</f>
        <v>John Doe</v>
      </c>
      <c r="C70" s="3" t="str">
        <f>VLOOKUP($A70,'Employee Details'!$A$1:$N$141,3,0)</f>
        <v>John</v>
      </c>
      <c r="D70" s="3" t="str">
        <f>VLOOKUP($A70,'Employee Details'!$A$1:$N$141,4,0)</f>
        <v>Doe</v>
      </c>
      <c r="E70" s="3" t="str">
        <f>VLOOKUP($A70,'Employee Details'!$A$1:$N$141,5,0)</f>
        <v>Sales</v>
      </c>
      <c r="F70" s="3" t="str">
        <f>VLOOKUP($A70,'Employee Details'!$A$1:$N$141,6,0)</f>
        <v>India</v>
      </c>
      <c r="G70" s="3">
        <f>VLOOKUP($A70,'Employee Details'!$A$1:$N$141,7,0)</f>
        <v>91101</v>
      </c>
      <c r="H70" s="3" t="str">
        <f>VLOOKUP($A70,'Employee Details'!$A$1:$N$141,8,0)</f>
        <v>High Salary</v>
      </c>
      <c r="I70" s="13">
        <f>VLOOKUP($A70,'Employee Details'!$A$1:$N$141,9,0)</f>
        <v>42519</v>
      </c>
      <c r="J70" s="3" t="str">
        <f>VLOOKUP($A70,'Employee Details'!$A$1:$N$141,10,0)</f>
        <v>May</v>
      </c>
      <c r="K70" s="3">
        <f ca="1">VLOOKUP($A70,'Employee Details'!$A$1:$N$141,11,0)</f>
        <v>3641</v>
      </c>
      <c r="L70" s="3">
        <f>VLOOKUP($A70,'Employee Details'!$A$1:$N$141,12,0)</f>
        <v>4</v>
      </c>
      <c r="M70" s="3" t="str">
        <f>VLOOKUP($A70,'Employee Details'!$A$1:$N$141,13,0)</f>
        <v>Female</v>
      </c>
    </row>
    <row r="71" spans="1:13" x14ac:dyDescent="0.25">
      <c r="A71" s="3" t="s">
        <v>157</v>
      </c>
      <c r="B71" s="3" t="str">
        <f>VLOOKUP($A71,'Employee Details'!$A$1:$N$141,2,0)</f>
        <v>Sam Wilson</v>
      </c>
      <c r="C71" s="3" t="str">
        <f>VLOOKUP($A71,'Employee Details'!$A$1:$N$141,3,0)</f>
        <v>Sam</v>
      </c>
      <c r="D71" s="3" t="str">
        <f>VLOOKUP($A71,'Employee Details'!$A$1:$N$141,4,0)</f>
        <v>Wilson</v>
      </c>
      <c r="E71" s="3" t="str">
        <f>VLOOKUP($A71,'Employee Details'!$A$1:$N$141,5,0)</f>
        <v>Marketing</v>
      </c>
      <c r="F71" s="3" t="str">
        <f>VLOOKUP($A71,'Employee Details'!$A$1:$N$141,6,0)</f>
        <v>Germany</v>
      </c>
      <c r="G71" s="3">
        <f>VLOOKUP($A71,'Employee Details'!$A$1:$N$141,7,0)</f>
        <v>41243</v>
      </c>
      <c r="H71" s="3" t="str">
        <f>VLOOKUP($A71,'Employee Details'!$A$1:$N$141,8,0)</f>
        <v>Good Salary</v>
      </c>
      <c r="I71" s="13">
        <f>VLOOKUP($A71,'Employee Details'!$A$1:$N$141,9,0)</f>
        <v>42526</v>
      </c>
      <c r="J71" s="3" t="str">
        <f>VLOOKUP($A71,'Employee Details'!$A$1:$N$141,10,0)</f>
        <v>June</v>
      </c>
      <c r="K71" s="3">
        <f ca="1">VLOOKUP($A71,'Employee Details'!$A$1:$N$141,11,0)</f>
        <v>3634</v>
      </c>
      <c r="L71" s="3">
        <f>VLOOKUP($A71,'Employee Details'!$A$1:$N$141,12,0)</f>
        <v>3</v>
      </c>
      <c r="M71" s="3" t="str">
        <f>VLOOKUP($A71,'Employee Details'!$A$1:$N$141,13,0)</f>
        <v>Not Specified</v>
      </c>
    </row>
    <row r="72" spans="1:13" x14ac:dyDescent="0.25">
      <c r="A72" s="3" t="s">
        <v>158</v>
      </c>
      <c r="B72" s="3" t="str">
        <f>VLOOKUP($A72,'Employee Details'!$A$1:$N$141,2,0)</f>
        <v>Eve Adams</v>
      </c>
      <c r="C72" s="3" t="str">
        <f>VLOOKUP($A72,'Employee Details'!$A$1:$N$141,3,0)</f>
        <v>Eve</v>
      </c>
      <c r="D72" s="3" t="str">
        <f>VLOOKUP($A72,'Employee Details'!$A$1:$N$141,4,0)</f>
        <v>Adams</v>
      </c>
      <c r="E72" s="3" t="str">
        <f>VLOOKUP($A72,'Employee Details'!$A$1:$N$141,5,0)</f>
        <v>IT</v>
      </c>
      <c r="F72" s="3" t="str">
        <f>VLOOKUP($A72,'Employee Details'!$A$1:$N$141,6,0)</f>
        <v>India</v>
      </c>
      <c r="G72" s="3">
        <f>VLOOKUP($A72,'Employee Details'!$A$1:$N$141,7,0)</f>
        <v>94301</v>
      </c>
      <c r="H72" s="3" t="str">
        <f>VLOOKUP($A72,'Employee Details'!$A$1:$N$141,8,0)</f>
        <v>High Salary</v>
      </c>
      <c r="I72" s="13">
        <f>VLOOKUP($A72,'Employee Details'!$A$1:$N$141,9,0)</f>
        <v>42540</v>
      </c>
      <c r="J72" s="3" t="str">
        <f>VLOOKUP($A72,'Employee Details'!$A$1:$N$141,10,0)</f>
        <v>June</v>
      </c>
      <c r="K72" s="3">
        <f ca="1">VLOOKUP($A72,'Employee Details'!$A$1:$N$141,11,0)</f>
        <v>3620</v>
      </c>
      <c r="L72" s="3">
        <f>VLOOKUP($A72,'Employee Details'!$A$1:$N$141,12,0)</f>
        <v>1</v>
      </c>
      <c r="M72" s="3" t="str">
        <f>VLOOKUP($A72,'Employee Details'!$A$1:$N$141,13,0)</f>
        <v>Male</v>
      </c>
    </row>
    <row r="73" spans="1:13" x14ac:dyDescent="0.25">
      <c r="A73" s="3" t="s">
        <v>159</v>
      </c>
      <c r="B73" s="3" t="str">
        <f>VLOOKUP($A73,'Employee Details'!$A$1:$N$141,2,0)</f>
        <v>Jane Smith</v>
      </c>
      <c r="C73" s="3" t="str">
        <f>VLOOKUP($A73,'Employee Details'!$A$1:$N$141,3,0)</f>
        <v>Jane</v>
      </c>
      <c r="D73" s="3" t="str">
        <f>VLOOKUP($A73,'Employee Details'!$A$1:$N$141,4,0)</f>
        <v>Smith</v>
      </c>
      <c r="E73" s="3" t="str">
        <f>VLOOKUP($A73,'Employee Details'!$A$1:$N$141,5,0)</f>
        <v>Marketing</v>
      </c>
      <c r="F73" s="3" t="str">
        <f>VLOOKUP($A73,'Employee Details'!$A$1:$N$141,6,0)</f>
        <v>UK</v>
      </c>
      <c r="G73" s="3">
        <f>VLOOKUP($A73,'Employee Details'!$A$1:$N$141,7,0)</f>
        <v>69166</v>
      </c>
      <c r="H73" s="3" t="str">
        <f>VLOOKUP($A73,'Employee Details'!$A$1:$N$141,8,0)</f>
        <v>Good Salary</v>
      </c>
      <c r="I73" s="13">
        <f>VLOOKUP($A73,'Employee Details'!$A$1:$N$141,9,0)</f>
        <v>42547</v>
      </c>
      <c r="J73" s="3" t="str">
        <f>VLOOKUP($A73,'Employee Details'!$A$1:$N$141,10,0)</f>
        <v>June</v>
      </c>
      <c r="K73" s="3">
        <f ca="1">VLOOKUP($A73,'Employee Details'!$A$1:$N$141,11,0)</f>
        <v>3613</v>
      </c>
      <c r="L73" s="3">
        <f>VLOOKUP($A73,'Employee Details'!$A$1:$N$141,12,0)</f>
        <v>1</v>
      </c>
      <c r="M73" s="3" t="str">
        <f>VLOOKUP($A73,'Employee Details'!$A$1:$N$141,13,0)</f>
        <v>Female</v>
      </c>
    </row>
    <row r="74" spans="1:13" x14ac:dyDescent="0.25">
      <c r="A74" s="3" t="s">
        <v>161</v>
      </c>
      <c r="B74" s="3" t="str">
        <f>VLOOKUP($A74,'Employee Details'!$A$1:$N$141,2,0)</f>
        <v>Sam Wilson</v>
      </c>
      <c r="C74" s="3" t="str">
        <f>VLOOKUP($A74,'Employee Details'!$A$1:$N$141,3,0)</f>
        <v>Sam</v>
      </c>
      <c r="D74" s="3" t="str">
        <f>VLOOKUP($A74,'Employee Details'!$A$1:$N$141,4,0)</f>
        <v>Wilson</v>
      </c>
      <c r="E74" s="3" t="str">
        <f>VLOOKUP($A74,'Employee Details'!$A$1:$N$141,5,0)</f>
        <v>Marketing</v>
      </c>
      <c r="F74" s="3" t="str">
        <f>VLOOKUP($A74,'Employee Details'!$A$1:$N$141,6,0)</f>
        <v>UK</v>
      </c>
      <c r="G74" s="3">
        <f>VLOOKUP($A74,'Employee Details'!$A$1:$N$141,7,0)</f>
        <v>78245</v>
      </c>
      <c r="H74" s="3" t="str">
        <f>VLOOKUP($A74,'Employee Details'!$A$1:$N$141,8,0)</f>
        <v>High Salary</v>
      </c>
      <c r="I74" s="13">
        <f>VLOOKUP($A74,'Employee Details'!$A$1:$N$141,9,0)</f>
        <v>42554</v>
      </c>
      <c r="J74" s="3" t="str">
        <f>VLOOKUP($A74,'Employee Details'!$A$1:$N$141,10,0)</f>
        <v>July</v>
      </c>
      <c r="K74" s="3">
        <f ca="1">VLOOKUP($A74,'Employee Details'!$A$1:$N$141,11,0)</f>
        <v>3606</v>
      </c>
      <c r="L74" s="3">
        <f>VLOOKUP($A74,'Employee Details'!$A$1:$N$141,12,0)</f>
        <v>2</v>
      </c>
      <c r="M74" s="3" t="str">
        <f>VLOOKUP($A74,'Employee Details'!$A$1:$N$141,13,0)</f>
        <v>Not Specified</v>
      </c>
    </row>
    <row r="75" spans="1:13" x14ac:dyDescent="0.25">
      <c r="A75" s="3" t="s">
        <v>163</v>
      </c>
      <c r="B75" s="3" t="str">
        <f>VLOOKUP($A75,'Employee Details'!$A$1:$N$141,2,0)</f>
        <v>Chris Lee</v>
      </c>
      <c r="C75" s="3" t="str">
        <f>VLOOKUP($A75,'Employee Details'!$A$1:$N$141,3,0)</f>
        <v>Chris</v>
      </c>
      <c r="D75" s="3" t="str">
        <f>VLOOKUP($A75,'Employee Details'!$A$1:$N$141,4,0)</f>
        <v>Lee</v>
      </c>
      <c r="E75" s="3" t="str">
        <f>VLOOKUP($A75,'Employee Details'!$A$1:$N$141,5,0)</f>
        <v>Sales</v>
      </c>
      <c r="F75" s="3" t="str">
        <f>VLOOKUP($A75,'Employee Details'!$A$1:$N$141,6,0)</f>
        <v>USA</v>
      </c>
      <c r="G75" s="3">
        <f>VLOOKUP($A75,'Employee Details'!$A$1:$N$141,7,0)</f>
        <v>66079</v>
      </c>
      <c r="H75" s="3" t="str">
        <f>VLOOKUP($A75,'Employee Details'!$A$1:$N$141,8,0)</f>
        <v>Good Salary</v>
      </c>
      <c r="I75" s="13">
        <f>VLOOKUP($A75,'Employee Details'!$A$1:$N$141,9,0)</f>
        <v>42561</v>
      </c>
      <c r="J75" s="3" t="str">
        <f>VLOOKUP($A75,'Employee Details'!$A$1:$N$141,10,0)</f>
        <v>July</v>
      </c>
      <c r="K75" s="3">
        <f ca="1">VLOOKUP($A75,'Employee Details'!$A$1:$N$141,11,0)</f>
        <v>3599</v>
      </c>
      <c r="L75" s="3">
        <f>VLOOKUP($A75,'Employee Details'!$A$1:$N$141,12,0)</f>
        <v>2</v>
      </c>
      <c r="M75" s="3" t="str">
        <f>VLOOKUP($A75,'Employee Details'!$A$1:$N$141,13,0)</f>
        <v>Other</v>
      </c>
    </row>
    <row r="76" spans="1:13" x14ac:dyDescent="0.25">
      <c r="A76" s="3" t="s">
        <v>165</v>
      </c>
      <c r="B76" s="3" t="str">
        <f>VLOOKUP($A76,'Employee Details'!$A$1:$N$141,2,0)</f>
        <v>Eve Adams</v>
      </c>
      <c r="C76" s="3" t="str">
        <f>VLOOKUP($A76,'Employee Details'!$A$1:$N$141,3,0)</f>
        <v>Eve</v>
      </c>
      <c r="D76" s="3" t="str">
        <f>VLOOKUP($A76,'Employee Details'!$A$1:$N$141,4,0)</f>
        <v>Adams</v>
      </c>
      <c r="E76" s="3" t="str">
        <f>VLOOKUP($A76,'Employee Details'!$A$1:$N$141,5,0)</f>
        <v>Marketing</v>
      </c>
      <c r="F76" s="3" t="str">
        <f>VLOOKUP($A76,'Employee Details'!$A$1:$N$141,6,0)</f>
        <v>India</v>
      </c>
      <c r="G76" s="3">
        <f>VLOOKUP($A76,'Employee Details'!$A$1:$N$141,7,0)</f>
        <v>65882</v>
      </c>
      <c r="H76" s="3" t="str">
        <f>VLOOKUP($A76,'Employee Details'!$A$1:$N$141,8,0)</f>
        <v>Good Salary</v>
      </c>
      <c r="I76" s="13">
        <f>VLOOKUP($A76,'Employee Details'!$A$1:$N$141,9,0)</f>
        <v>42568</v>
      </c>
      <c r="J76" s="3" t="str">
        <f>VLOOKUP($A76,'Employee Details'!$A$1:$N$141,10,0)</f>
        <v>July</v>
      </c>
      <c r="K76" s="3">
        <f ca="1">VLOOKUP($A76,'Employee Details'!$A$1:$N$141,11,0)</f>
        <v>3592</v>
      </c>
      <c r="L76" s="3">
        <f>VLOOKUP($A76,'Employee Details'!$A$1:$N$141,12,0)</f>
        <v>3</v>
      </c>
      <c r="M76" s="3" t="str">
        <f>VLOOKUP($A76,'Employee Details'!$A$1:$N$141,13,0)</f>
        <v>Not Specified</v>
      </c>
    </row>
    <row r="77" spans="1:13" x14ac:dyDescent="0.25">
      <c r="A77" s="3" t="s">
        <v>166</v>
      </c>
      <c r="B77" s="3" t="str">
        <f>VLOOKUP($A77,'Employee Details'!$A$1:$N$141,2,0)</f>
        <v>Jane Smith</v>
      </c>
      <c r="C77" s="3" t="str">
        <f>VLOOKUP($A77,'Employee Details'!$A$1:$N$141,3,0)</f>
        <v>Jane</v>
      </c>
      <c r="D77" s="3" t="str">
        <f>VLOOKUP($A77,'Employee Details'!$A$1:$N$141,4,0)</f>
        <v>Smith</v>
      </c>
      <c r="E77" s="3" t="str">
        <f>VLOOKUP($A77,'Employee Details'!$A$1:$N$141,5,0)</f>
        <v>Sales</v>
      </c>
      <c r="F77" s="3" t="str">
        <f>VLOOKUP($A77,'Employee Details'!$A$1:$N$141,6,0)</f>
        <v>USA</v>
      </c>
      <c r="G77" s="3">
        <f>VLOOKUP($A77,'Employee Details'!$A$1:$N$141,7,0)</f>
        <v>95621</v>
      </c>
      <c r="H77" s="3" t="str">
        <f>VLOOKUP($A77,'Employee Details'!$A$1:$N$141,8,0)</f>
        <v>High Salary</v>
      </c>
      <c r="I77" s="13">
        <f>VLOOKUP($A77,'Employee Details'!$A$1:$N$141,9,0)</f>
        <v>42575</v>
      </c>
      <c r="J77" s="3" t="str">
        <f>VLOOKUP($A77,'Employee Details'!$A$1:$N$141,10,0)</f>
        <v>July</v>
      </c>
      <c r="K77" s="3">
        <f ca="1">VLOOKUP($A77,'Employee Details'!$A$1:$N$141,11,0)</f>
        <v>3585</v>
      </c>
      <c r="L77" s="3">
        <f>VLOOKUP($A77,'Employee Details'!$A$1:$N$141,12,0)</f>
        <v>3</v>
      </c>
      <c r="M77" s="3" t="str">
        <f>VLOOKUP($A77,'Employee Details'!$A$1:$N$141,13,0)</f>
        <v>Female</v>
      </c>
    </row>
    <row r="78" spans="1:13" x14ac:dyDescent="0.25">
      <c r="A78" s="3" t="s">
        <v>168</v>
      </c>
      <c r="B78" s="3" t="str">
        <f>VLOOKUP($A78,'Employee Details'!$A$1:$N$141,2,0)</f>
        <v>Eve Adams</v>
      </c>
      <c r="C78" s="3" t="str">
        <f>VLOOKUP($A78,'Employee Details'!$A$1:$N$141,3,0)</f>
        <v>Eve</v>
      </c>
      <c r="D78" s="3" t="str">
        <f>VLOOKUP($A78,'Employee Details'!$A$1:$N$141,4,0)</f>
        <v>Adams</v>
      </c>
      <c r="E78" s="3" t="str">
        <f>VLOOKUP($A78,'Employee Details'!$A$1:$N$141,5,0)</f>
        <v>IT</v>
      </c>
      <c r="F78" s="3" t="str">
        <f>VLOOKUP($A78,'Employee Details'!$A$1:$N$141,6,0)</f>
        <v>UK</v>
      </c>
      <c r="G78" s="3">
        <f>VLOOKUP($A78,'Employee Details'!$A$1:$N$141,7,0)</f>
        <v>42262</v>
      </c>
      <c r="H78" s="3" t="str">
        <f>VLOOKUP($A78,'Employee Details'!$A$1:$N$141,8,0)</f>
        <v>Good Salary</v>
      </c>
      <c r="I78" s="13">
        <f>VLOOKUP($A78,'Employee Details'!$A$1:$N$141,9,0)</f>
        <v>42582</v>
      </c>
      <c r="J78" s="3" t="str">
        <f>VLOOKUP($A78,'Employee Details'!$A$1:$N$141,10,0)</f>
        <v>July</v>
      </c>
      <c r="K78" s="3">
        <f ca="1">VLOOKUP($A78,'Employee Details'!$A$1:$N$141,11,0)</f>
        <v>3578</v>
      </c>
      <c r="L78" s="3">
        <f>VLOOKUP($A78,'Employee Details'!$A$1:$N$141,12,0)</f>
        <v>1</v>
      </c>
      <c r="M78" s="3" t="str">
        <f>VLOOKUP($A78,'Employee Details'!$A$1:$N$141,13,0)</f>
        <v>Not Specified</v>
      </c>
    </row>
    <row r="79" spans="1:13" x14ac:dyDescent="0.25">
      <c r="A79" s="3" t="s">
        <v>170</v>
      </c>
      <c r="B79" s="3" t="str">
        <f>VLOOKUP($A79,'Employee Details'!$A$1:$N$141,2,0)</f>
        <v>Sam Wilson</v>
      </c>
      <c r="C79" s="3" t="str">
        <f>VLOOKUP($A79,'Employee Details'!$A$1:$N$141,3,0)</f>
        <v>Sam</v>
      </c>
      <c r="D79" s="3" t="str">
        <f>VLOOKUP($A79,'Employee Details'!$A$1:$N$141,4,0)</f>
        <v>Wilson</v>
      </c>
      <c r="E79" s="3" t="str">
        <f>VLOOKUP($A79,'Employee Details'!$A$1:$N$141,5,0)</f>
        <v>Sales</v>
      </c>
      <c r="F79" s="3" t="str">
        <f>VLOOKUP($A79,'Employee Details'!$A$1:$N$141,6,0)</f>
        <v>India</v>
      </c>
      <c r="G79" s="3">
        <f>VLOOKUP($A79,'Employee Details'!$A$1:$N$141,7,0)</f>
        <v>99621</v>
      </c>
      <c r="H79" s="3" t="str">
        <f>VLOOKUP($A79,'Employee Details'!$A$1:$N$141,8,0)</f>
        <v>High Salary</v>
      </c>
      <c r="I79" s="13">
        <f>VLOOKUP($A79,'Employee Details'!$A$1:$N$141,9,0)</f>
        <v>42589</v>
      </c>
      <c r="J79" s="3" t="str">
        <f>VLOOKUP($A79,'Employee Details'!$A$1:$N$141,10,0)</f>
        <v>August</v>
      </c>
      <c r="K79" s="3">
        <f ca="1">VLOOKUP($A79,'Employee Details'!$A$1:$N$141,11,0)</f>
        <v>3571</v>
      </c>
      <c r="L79" s="3">
        <f>VLOOKUP($A79,'Employee Details'!$A$1:$N$141,12,0)</f>
        <v>3</v>
      </c>
      <c r="M79" s="3" t="str">
        <f>VLOOKUP($A79,'Employee Details'!$A$1:$N$141,13,0)</f>
        <v>Other</v>
      </c>
    </row>
    <row r="80" spans="1:13" x14ac:dyDescent="0.25">
      <c r="A80" s="3" t="s">
        <v>172</v>
      </c>
      <c r="B80" s="3" t="str">
        <f>VLOOKUP($A80,'Employee Details'!$A$1:$N$141,2,0)</f>
        <v>John Doe</v>
      </c>
      <c r="C80" s="3" t="str">
        <f>VLOOKUP($A80,'Employee Details'!$A$1:$N$141,3,0)</f>
        <v>John</v>
      </c>
      <c r="D80" s="3" t="str">
        <f>VLOOKUP($A80,'Employee Details'!$A$1:$N$141,4,0)</f>
        <v>Doe</v>
      </c>
      <c r="E80" s="3" t="str">
        <f>VLOOKUP($A80,'Employee Details'!$A$1:$N$141,5,0)</f>
        <v>Marketing</v>
      </c>
      <c r="F80" s="3" t="str">
        <f>VLOOKUP($A80,'Employee Details'!$A$1:$N$141,6,0)</f>
        <v>India</v>
      </c>
      <c r="G80" s="3">
        <f>VLOOKUP($A80,'Employee Details'!$A$1:$N$141,7,0)</f>
        <v>44682</v>
      </c>
      <c r="H80" s="3" t="str">
        <f>VLOOKUP($A80,'Employee Details'!$A$1:$N$141,8,0)</f>
        <v>Good Salary</v>
      </c>
      <c r="I80" s="13">
        <f>VLOOKUP($A80,'Employee Details'!$A$1:$N$141,9,0)</f>
        <v>42596</v>
      </c>
      <c r="J80" s="3" t="str">
        <f>VLOOKUP($A80,'Employee Details'!$A$1:$N$141,10,0)</f>
        <v>August</v>
      </c>
      <c r="K80" s="3">
        <f ca="1">VLOOKUP($A80,'Employee Details'!$A$1:$N$141,11,0)</f>
        <v>3564</v>
      </c>
      <c r="L80" s="3">
        <f>VLOOKUP($A80,'Employee Details'!$A$1:$N$141,12,0)</f>
        <v>4</v>
      </c>
      <c r="M80" s="3" t="str">
        <f>VLOOKUP($A80,'Employee Details'!$A$1:$N$141,13,0)</f>
        <v>Female</v>
      </c>
    </row>
    <row r="81" spans="1:13" x14ac:dyDescent="0.25">
      <c r="A81" s="3" t="s">
        <v>173</v>
      </c>
      <c r="B81" s="3" t="str">
        <f>VLOOKUP($A81,'Employee Details'!$A$1:$N$141,2,0)</f>
        <v>Chris Lee</v>
      </c>
      <c r="C81" s="3" t="str">
        <f>VLOOKUP($A81,'Employee Details'!$A$1:$N$141,3,0)</f>
        <v>Chris</v>
      </c>
      <c r="D81" s="3" t="str">
        <f>VLOOKUP($A81,'Employee Details'!$A$1:$N$141,4,0)</f>
        <v>Lee</v>
      </c>
      <c r="E81" s="3" t="str">
        <f>VLOOKUP($A81,'Employee Details'!$A$1:$N$141,5,0)</f>
        <v>Finance</v>
      </c>
      <c r="F81" s="3" t="str">
        <f>VLOOKUP($A81,'Employee Details'!$A$1:$N$141,6,0)</f>
        <v>India</v>
      </c>
      <c r="G81" s="3">
        <f>VLOOKUP($A81,'Employee Details'!$A$1:$N$141,7,0)</f>
        <v>35163</v>
      </c>
      <c r="H81" s="3" t="str">
        <f>VLOOKUP($A81,'Employee Details'!$A$1:$N$141,8,0)</f>
        <v>Low Salary</v>
      </c>
      <c r="I81" s="13">
        <f>VLOOKUP($A81,'Employee Details'!$A$1:$N$141,9,0)</f>
        <v>42603</v>
      </c>
      <c r="J81" s="3" t="str">
        <f>VLOOKUP($A81,'Employee Details'!$A$1:$N$141,10,0)</f>
        <v>August</v>
      </c>
      <c r="K81" s="3">
        <f ca="1">VLOOKUP($A81,'Employee Details'!$A$1:$N$141,11,0)</f>
        <v>3557</v>
      </c>
      <c r="L81" s="3">
        <f>VLOOKUP($A81,'Employee Details'!$A$1:$N$141,12,0)</f>
        <v>5</v>
      </c>
      <c r="M81" s="3" t="str">
        <f>VLOOKUP($A81,'Employee Details'!$A$1:$N$141,13,0)</f>
        <v>Other</v>
      </c>
    </row>
    <row r="82" spans="1:13" x14ac:dyDescent="0.25">
      <c r="A82" s="3" t="s">
        <v>175</v>
      </c>
      <c r="B82" s="3" t="str">
        <f>VLOOKUP($A82,'Employee Details'!$A$1:$N$141,2,0)</f>
        <v>Chris Lee</v>
      </c>
      <c r="C82" s="3" t="str">
        <f>VLOOKUP($A82,'Employee Details'!$A$1:$N$141,3,0)</f>
        <v>Chris</v>
      </c>
      <c r="D82" s="3" t="str">
        <f>VLOOKUP($A82,'Employee Details'!$A$1:$N$141,4,0)</f>
        <v>Lee</v>
      </c>
      <c r="E82" s="3" t="str">
        <f>VLOOKUP($A82,'Employee Details'!$A$1:$N$141,5,0)</f>
        <v>IT</v>
      </c>
      <c r="F82" s="3" t="str">
        <f>VLOOKUP($A82,'Employee Details'!$A$1:$N$141,6,0)</f>
        <v>India</v>
      </c>
      <c r="G82" s="3">
        <f>VLOOKUP($A82,'Employee Details'!$A$1:$N$141,7,0)</f>
        <v>33483</v>
      </c>
      <c r="H82" s="3" t="str">
        <f>VLOOKUP($A82,'Employee Details'!$A$1:$N$141,8,0)</f>
        <v>Low Salary</v>
      </c>
      <c r="I82" s="13">
        <f>VLOOKUP($A82,'Employee Details'!$A$1:$N$141,9,0)</f>
        <v>42610</v>
      </c>
      <c r="J82" s="3" t="str">
        <f>VLOOKUP($A82,'Employee Details'!$A$1:$N$141,10,0)</f>
        <v>August</v>
      </c>
      <c r="K82" s="3">
        <f ca="1">VLOOKUP($A82,'Employee Details'!$A$1:$N$141,11,0)</f>
        <v>3550</v>
      </c>
      <c r="L82" s="3">
        <f>VLOOKUP($A82,'Employee Details'!$A$1:$N$141,12,0)</f>
        <v>4</v>
      </c>
      <c r="M82" s="3" t="str">
        <f>VLOOKUP($A82,'Employee Details'!$A$1:$N$141,13,0)</f>
        <v>Male</v>
      </c>
    </row>
    <row r="83" spans="1:13" x14ac:dyDescent="0.25">
      <c r="A83" s="3" t="s">
        <v>177</v>
      </c>
      <c r="B83" s="3" t="str">
        <f>VLOOKUP($A83,'Employee Details'!$A$1:$N$141,2,0)</f>
        <v>Sam Wilson</v>
      </c>
      <c r="C83" s="3" t="str">
        <f>VLOOKUP($A83,'Employee Details'!$A$1:$N$141,3,0)</f>
        <v>Sam</v>
      </c>
      <c r="D83" s="3" t="str">
        <f>VLOOKUP($A83,'Employee Details'!$A$1:$N$141,4,0)</f>
        <v>Wilson</v>
      </c>
      <c r="E83" s="3" t="str">
        <f>VLOOKUP($A83,'Employee Details'!$A$1:$N$141,5,0)</f>
        <v>HR</v>
      </c>
      <c r="F83" s="3" t="str">
        <f>VLOOKUP($A83,'Employee Details'!$A$1:$N$141,6,0)</f>
        <v>Germany</v>
      </c>
      <c r="G83" s="3">
        <f>VLOOKUP($A83,'Employee Details'!$A$1:$N$141,7,0)</f>
        <v>55303</v>
      </c>
      <c r="H83" s="3" t="str">
        <f>VLOOKUP($A83,'Employee Details'!$A$1:$N$141,8,0)</f>
        <v>Good Salary</v>
      </c>
      <c r="I83" s="13">
        <f>VLOOKUP($A83,'Employee Details'!$A$1:$N$141,9,0)</f>
        <v>42617</v>
      </c>
      <c r="J83" s="3" t="str">
        <f>VLOOKUP($A83,'Employee Details'!$A$1:$N$141,10,0)</f>
        <v>September</v>
      </c>
      <c r="K83" s="3">
        <f ca="1">VLOOKUP($A83,'Employee Details'!$A$1:$N$141,11,0)</f>
        <v>3543</v>
      </c>
      <c r="L83" s="3">
        <f>VLOOKUP($A83,'Employee Details'!$A$1:$N$141,12,0)</f>
        <v>4</v>
      </c>
      <c r="M83" s="3" t="str">
        <f>VLOOKUP($A83,'Employee Details'!$A$1:$N$141,13,0)</f>
        <v>Male</v>
      </c>
    </row>
    <row r="84" spans="1:13" x14ac:dyDescent="0.25">
      <c r="A84" s="3" t="s">
        <v>178</v>
      </c>
      <c r="B84" s="3" t="str">
        <f>VLOOKUP($A84,'Employee Details'!$A$1:$N$141,2,0)</f>
        <v>Chris Lee</v>
      </c>
      <c r="C84" s="3" t="str">
        <f>VLOOKUP($A84,'Employee Details'!$A$1:$N$141,3,0)</f>
        <v>Chris</v>
      </c>
      <c r="D84" s="3" t="str">
        <f>VLOOKUP($A84,'Employee Details'!$A$1:$N$141,4,0)</f>
        <v>Lee</v>
      </c>
      <c r="E84" s="3" t="str">
        <f>VLOOKUP($A84,'Employee Details'!$A$1:$N$141,5,0)</f>
        <v>IT</v>
      </c>
      <c r="F84" s="3" t="str">
        <f>VLOOKUP($A84,'Employee Details'!$A$1:$N$141,6,0)</f>
        <v>India</v>
      </c>
      <c r="G84" s="3">
        <f>VLOOKUP($A84,'Employee Details'!$A$1:$N$141,7,0)</f>
        <v>63434</v>
      </c>
      <c r="H84" s="3" t="str">
        <f>VLOOKUP($A84,'Employee Details'!$A$1:$N$141,8,0)</f>
        <v>Good Salary</v>
      </c>
      <c r="I84" s="13">
        <f>VLOOKUP($A84,'Employee Details'!$A$1:$N$141,9,0)</f>
        <v>42624</v>
      </c>
      <c r="J84" s="3" t="str">
        <f>VLOOKUP($A84,'Employee Details'!$A$1:$N$141,10,0)</f>
        <v>September</v>
      </c>
      <c r="K84" s="3">
        <f ca="1">VLOOKUP($A84,'Employee Details'!$A$1:$N$141,11,0)</f>
        <v>3536</v>
      </c>
      <c r="L84" s="3">
        <f>VLOOKUP($A84,'Employee Details'!$A$1:$N$141,12,0)</f>
        <v>3</v>
      </c>
      <c r="M84" s="3" t="str">
        <f>VLOOKUP($A84,'Employee Details'!$A$1:$N$141,13,0)</f>
        <v>Not Specified</v>
      </c>
    </row>
    <row r="85" spans="1:13" x14ac:dyDescent="0.25">
      <c r="A85" s="3" t="s">
        <v>180</v>
      </c>
      <c r="B85" s="3" t="str">
        <f>VLOOKUP($A85,'Employee Details'!$A$1:$N$141,2,0)</f>
        <v>Jane Smith</v>
      </c>
      <c r="C85" s="3" t="str">
        <f>VLOOKUP($A85,'Employee Details'!$A$1:$N$141,3,0)</f>
        <v>Jane</v>
      </c>
      <c r="D85" s="3" t="str">
        <f>VLOOKUP($A85,'Employee Details'!$A$1:$N$141,4,0)</f>
        <v>Smith</v>
      </c>
      <c r="E85" s="3" t="str">
        <f>VLOOKUP($A85,'Employee Details'!$A$1:$N$141,5,0)</f>
        <v>Marketing</v>
      </c>
      <c r="F85" s="3" t="str">
        <f>VLOOKUP($A85,'Employee Details'!$A$1:$N$141,6,0)</f>
        <v>Australia</v>
      </c>
      <c r="G85" s="3">
        <f>VLOOKUP($A85,'Employee Details'!$A$1:$N$141,7,0)</f>
        <v>38830</v>
      </c>
      <c r="H85" s="3" t="str">
        <f>VLOOKUP($A85,'Employee Details'!$A$1:$N$141,8,0)</f>
        <v>Low Salary</v>
      </c>
      <c r="I85" s="13">
        <f>VLOOKUP($A85,'Employee Details'!$A$1:$N$141,9,0)</f>
        <v>42631</v>
      </c>
      <c r="J85" s="3" t="str">
        <f>VLOOKUP($A85,'Employee Details'!$A$1:$N$141,10,0)</f>
        <v>September</v>
      </c>
      <c r="K85" s="3">
        <f ca="1">VLOOKUP($A85,'Employee Details'!$A$1:$N$141,11,0)</f>
        <v>3529</v>
      </c>
      <c r="L85" s="3">
        <f>VLOOKUP($A85,'Employee Details'!$A$1:$N$141,12,0)</f>
        <v>3</v>
      </c>
      <c r="M85" s="3" t="str">
        <f>VLOOKUP($A85,'Employee Details'!$A$1:$N$141,13,0)</f>
        <v>Other</v>
      </c>
    </row>
    <row r="86" spans="1:13" x14ac:dyDescent="0.25">
      <c r="A86" s="3" t="s">
        <v>181</v>
      </c>
      <c r="B86" s="3" t="str">
        <f>VLOOKUP($A86,'Employee Details'!$A$1:$N$141,2,0)</f>
        <v>Alice Brown</v>
      </c>
      <c r="C86" s="3" t="str">
        <f>VLOOKUP($A86,'Employee Details'!$A$1:$N$141,3,0)</f>
        <v>Alice</v>
      </c>
      <c r="D86" s="3" t="str">
        <f>VLOOKUP($A86,'Employee Details'!$A$1:$N$141,4,0)</f>
        <v>Brown</v>
      </c>
      <c r="E86" s="3" t="str">
        <f>VLOOKUP($A86,'Employee Details'!$A$1:$N$141,5,0)</f>
        <v>HR</v>
      </c>
      <c r="F86" s="3" t="str">
        <f>VLOOKUP($A86,'Employee Details'!$A$1:$N$141,6,0)</f>
        <v>Australia</v>
      </c>
      <c r="G86" s="3">
        <f>VLOOKUP($A86,'Employee Details'!$A$1:$N$141,7,0)</f>
        <v>69420</v>
      </c>
      <c r="H86" s="3" t="str">
        <f>VLOOKUP($A86,'Employee Details'!$A$1:$N$141,8,0)</f>
        <v>Good Salary</v>
      </c>
      <c r="I86" s="13">
        <f>VLOOKUP($A86,'Employee Details'!$A$1:$N$141,9,0)</f>
        <v>42645</v>
      </c>
      <c r="J86" s="3" t="str">
        <f>VLOOKUP($A86,'Employee Details'!$A$1:$N$141,10,0)</f>
        <v>October</v>
      </c>
      <c r="K86" s="3">
        <f ca="1">VLOOKUP($A86,'Employee Details'!$A$1:$N$141,11,0)</f>
        <v>3515</v>
      </c>
      <c r="L86" s="3">
        <f>VLOOKUP($A86,'Employee Details'!$A$1:$N$141,12,0)</f>
        <v>1</v>
      </c>
      <c r="M86" s="3" t="str">
        <f>VLOOKUP($A86,'Employee Details'!$A$1:$N$141,13,0)</f>
        <v>Male</v>
      </c>
    </row>
    <row r="87" spans="1:13" x14ac:dyDescent="0.25">
      <c r="A87" s="3" t="s">
        <v>182</v>
      </c>
      <c r="B87" s="3" t="str">
        <f>VLOOKUP($A87,'Employee Details'!$A$1:$N$141,2,0)</f>
        <v>Jane Smith</v>
      </c>
      <c r="C87" s="3" t="str">
        <f>VLOOKUP($A87,'Employee Details'!$A$1:$N$141,3,0)</f>
        <v>Jane</v>
      </c>
      <c r="D87" s="3" t="str">
        <f>VLOOKUP($A87,'Employee Details'!$A$1:$N$141,4,0)</f>
        <v>Smith</v>
      </c>
      <c r="E87" s="3" t="str">
        <f>VLOOKUP($A87,'Employee Details'!$A$1:$N$141,5,0)</f>
        <v>IT</v>
      </c>
      <c r="F87" s="3" t="str">
        <f>VLOOKUP($A87,'Employee Details'!$A$1:$N$141,6,0)</f>
        <v>India</v>
      </c>
      <c r="G87" s="3">
        <f>VLOOKUP($A87,'Employee Details'!$A$1:$N$141,7,0)</f>
        <v>80588</v>
      </c>
      <c r="H87" s="3" t="str">
        <f>VLOOKUP($A87,'Employee Details'!$A$1:$N$141,8,0)</f>
        <v>High Salary</v>
      </c>
      <c r="I87" s="13">
        <f>VLOOKUP($A87,'Employee Details'!$A$1:$N$141,9,0)</f>
        <v>42652</v>
      </c>
      <c r="J87" s="3" t="str">
        <f>VLOOKUP($A87,'Employee Details'!$A$1:$N$141,10,0)</f>
        <v>October</v>
      </c>
      <c r="K87" s="3">
        <f ca="1">VLOOKUP($A87,'Employee Details'!$A$1:$N$141,11,0)</f>
        <v>3508</v>
      </c>
      <c r="L87" s="3">
        <f>VLOOKUP($A87,'Employee Details'!$A$1:$N$141,12,0)</f>
        <v>5</v>
      </c>
      <c r="M87" s="3" t="str">
        <f>VLOOKUP($A87,'Employee Details'!$A$1:$N$141,13,0)</f>
        <v>Male</v>
      </c>
    </row>
    <row r="88" spans="1:13" x14ac:dyDescent="0.25">
      <c r="A88" s="3" t="s">
        <v>183</v>
      </c>
      <c r="B88" s="3" t="str">
        <f>VLOOKUP($A88,'Employee Details'!$A$1:$N$141,2,0)</f>
        <v>Alice Brown</v>
      </c>
      <c r="C88" s="3" t="str">
        <f>VLOOKUP($A88,'Employee Details'!$A$1:$N$141,3,0)</f>
        <v>Alice</v>
      </c>
      <c r="D88" s="3" t="str">
        <f>VLOOKUP($A88,'Employee Details'!$A$1:$N$141,4,0)</f>
        <v>Brown</v>
      </c>
      <c r="E88" s="3" t="str">
        <f>VLOOKUP($A88,'Employee Details'!$A$1:$N$141,5,0)</f>
        <v>Marketing</v>
      </c>
      <c r="F88" s="3" t="str">
        <f>VLOOKUP($A88,'Employee Details'!$A$1:$N$141,6,0)</f>
        <v>USA</v>
      </c>
      <c r="G88" s="3">
        <f>VLOOKUP($A88,'Employee Details'!$A$1:$N$141,7,0)</f>
        <v>76238</v>
      </c>
      <c r="H88" s="3" t="str">
        <f>VLOOKUP($A88,'Employee Details'!$A$1:$N$141,8,0)</f>
        <v>High Salary</v>
      </c>
      <c r="I88" s="13">
        <f>VLOOKUP($A88,'Employee Details'!$A$1:$N$141,9,0)</f>
        <v>42659</v>
      </c>
      <c r="J88" s="3" t="str">
        <f>VLOOKUP($A88,'Employee Details'!$A$1:$N$141,10,0)</f>
        <v>October</v>
      </c>
      <c r="K88" s="3">
        <f ca="1">VLOOKUP($A88,'Employee Details'!$A$1:$N$141,11,0)</f>
        <v>3501</v>
      </c>
      <c r="L88" s="3">
        <f>VLOOKUP($A88,'Employee Details'!$A$1:$N$141,12,0)</f>
        <v>4</v>
      </c>
      <c r="M88" s="3" t="str">
        <f>VLOOKUP($A88,'Employee Details'!$A$1:$N$141,13,0)</f>
        <v>Male</v>
      </c>
    </row>
    <row r="89" spans="1:13" x14ac:dyDescent="0.25">
      <c r="A89" s="3" t="s">
        <v>185</v>
      </c>
      <c r="B89" s="3" t="str">
        <f>VLOOKUP($A89,'Employee Details'!$A$1:$N$141,2,0)</f>
        <v>Bob Johnson</v>
      </c>
      <c r="C89" s="3" t="str">
        <f>VLOOKUP($A89,'Employee Details'!$A$1:$N$141,3,0)</f>
        <v>Bob</v>
      </c>
      <c r="D89" s="3" t="str">
        <f>VLOOKUP($A89,'Employee Details'!$A$1:$N$141,4,0)</f>
        <v>Johnson</v>
      </c>
      <c r="E89" s="3" t="str">
        <f>VLOOKUP($A89,'Employee Details'!$A$1:$N$141,5,0)</f>
        <v>IT</v>
      </c>
      <c r="F89" s="3" t="str">
        <f>VLOOKUP($A89,'Employee Details'!$A$1:$N$141,6,0)</f>
        <v>India</v>
      </c>
      <c r="G89" s="3">
        <f>VLOOKUP($A89,'Employee Details'!$A$1:$N$141,7,0)</f>
        <v>33264</v>
      </c>
      <c r="H89" s="3" t="str">
        <f>VLOOKUP($A89,'Employee Details'!$A$1:$N$141,8,0)</f>
        <v>Low Salary</v>
      </c>
      <c r="I89" s="13">
        <f>VLOOKUP($A89,'Employee Details'!$A$1:$N$141,9,0)</f>
        <v>42666</v>
      </c>
      <c r="J89" s="3" t="str">
        <f>VLOOKUP($A89,'Employee Details'!$A$1:$N$141,10,0)</f>
        <v>October</v>
      </c>
      <c r="K89" s="3">
        <f ca="1">VLOOKUP($A89,'Employee Details'!$A$1:$N$141,11,0)</f>
        <v>3494</v>
      </c>
      <c r="L89" s="3">
        <f>VLOOKUP($A89,'Employee Details'!$A$1:$N$141,12,0)</f>
        <v>3</v>
      </c>
      <c r="M89" s="3" t="str">
        <f>VLOOKUP($A89,'Employee Details'!$A$1:$N$141,13,0)</f>
        <v>Female</v>
      </c>
    </row>
    <row r="90" spans="1:13" x14ac:dyDescent="0.25">
      <c r="A90" s="3" t="s">
        <v>187</v>
      </c>
      <c r="B90" s="3" t="str">
        <f>VLOOKUP($A90,'Employee Details'!$A$1:$N$141,2,0)</f>
        <v>Alice Brown</v>
      </c>
      <c r="C90" s="3" t="str">
        <f>VLOOKUP($A90,'Employee Details'!$A$1:$N$141,3,0)</f>
        <v>Alice</v>
      </c>
      <c r="D90" s="3" t="str">
        <f>VLOOKUP($A90,'Employee Details'!$A$1:$N$141,4,0)</f>
        <v>Brown</v>
      </c>
      <c r="E90" s="3" t="str">
        <f>VLOOKUP($A90,'Employee Details'!$A$1:$N$141,5,0)</f>
        <v>Finance</v>
      </c>
      <c r="F90" s="3" t="str">
        <f>VLOOKUP($A90,'Employee Details'!$A$1:$N$141,6,0)</f>
        <v>Australia</v>
      </c>
      <c r="G90" s="3">
        <f>VLOOKUP($A90,'Employee Details'!$A$1:$N$141,7,0)</f>
        <v>96101</v>
      </c>
      <c r="H90" s="3" t="str">
        <f>VLOOKUP($A90,'Employee Details'!$A$1:$N$141,8,0)</f>
        <v>High Salary</v>
      </c>
      <c r="I90" s="13">
        <f>VLOOKUP($A90,'Employee Details'!$A$1:$N$141,9,0)</f>
        <v>42673</v>
      </c>
      <c r="J90" s="3" t="str">
        <f>VLOOKUP($A90,'Employee Details'!$A$1:$N$141,10,0)</f>
        <v>October</v>
      </c>
      <c r="K90" s="3">
        <f ca="1">VLOOKUP($A90,'Employee Details'!$A$1:$N$141,11,0)</f>
        <v>3487</v>
      </c>
      <c r="L90" s="3">
        <f>VLOOKUP($A90,'Employee Details'!$A$1:$N$141,12,0)</f>
        <v>3</v>
      </c>
      <c r="M90" s="3" t="str">
        <f>VLOOKUP($A90,'Employee Details'!$A$1:$N$141,13,0)</f>
        <v>Other</v>
      </c>
    </row>
    <row r="91" spans="1:13" x14ac:dyDescent="0.25">
      <c r="A91" s="3" t="s">
        <v>189</v>
      </c>
      <c r="B91" s="3" t="str">
        <f>VLOOKUP($A91,'Employee Details'!$A$1:$N$141,2,0)</f>
        <v>Jane Smith</v>
      </c>
      <c r="C91" s="3" t="str">
        <f>VLOOKUP($A91,'Employee Details'!$A$1:$N$141,3,0)</f>
        <v>Jane</v>
      </c>
      <c r="D91" s="3" t="str">
        <f>VLOOKUP($A91,'Employee Details'!$A$1:$N$141,4,0)</f>
        <v>Smith</v>
      </c>
      <c r="E91" s="3" t="str">
        <f>VLOOKUP($A91,'Employee Details'!$A$1:$N$141,5,0)</f>
        <v>Finance</v>
      </c>
      <c r="F91" s="3" t="str">
        <f>VLOOKUP($A91,'Employee Details'!$A$1:$N$141,6,0)</f>
        <v>USA</v>
      </c>
      <c r="G91" s="3">
        <f>VLOOKUP($A91,'Employee Details'!$A$1:$N$141,7,0)</f>
        <v>72939</v>
      </c>
      <c r="H91" s="3" t="str">
        <f>VLOOKUP($A91,'Employee Details'!$A$1:$N$141,8,0)</f>
        <v>High Salary</v>
      </c>
      <c r="I91" s="13">
        <f>VLOOKUP($A91,'Employee Details'!$A$1:$N$141,9,0)</f>
        <v>42680</v>
      </c>
      <c r="J91" s="3" t="str">
        <f>VLOOKUP($A91,'Employee Details'!$A$1:$N$141,10,0)</f>
        <v>November</v>
      </c>
      <c r="K91" s="3">
        <f ca="1">VLOOKUP($A91,'Employee Details'!$A$1:$N$141,11,0)</f>
        <v>3480</v>
      </c>
      <c r="L91" s="3">
        <f>VLOOKUP($A91,'Employee Details'!$A$1:$N$141,12,0)</f>
        <v>3</v>
      </c>
      <c r="M91" s="3" t="str">
        <f>VLOOKUP($A91,'Employee Details'!$A$1:$N$141,13,0)</f>
        <v>Not Specified</v>
      </c>
    </row>
    <row r="92" spans="1:13" x14ac:dyDescent="0.25">
      <c r="A92" s="3" t="s">
        <v>191</v>
      </c>
      <c r="B92" s="3" t="str">
        <f>VLOOKUP($A92,'Employee Details'!$A$1:$N$141,2,0)</f>
        <v>Sam Wilson</v>
      </c>
      <c r="C92" s="3" t="str">
        <f>VLOOKUP($A92,'Employee Details'!$A$1:$N$141,3,0)</f>
        <v>Sam</v>
      </c>
      <c r="D92" s="3" t="str">
        <f>VLOOKUP($A92,'Employee Details'!$A$1:$N$141,4,0)</f>
        <v>Wilson</v>
      </c>
      <c r="E92" s="3" t="str">
        <f>VLOOKUP($A92,'Employee Details'!$A$1:$N$141,5,0)</f>
        <v>HR</v>
      </c>
      <c r="F92" s="3" t="str">
        <f>VLOOKUP($A92,'Employee Details'!$A$1:$N$141,6,0)</f>
        <v>Germany</v>
      </c>
      <c r="G92" s="3">
        <f>VLOOKUP($A92,'Employee Details'!$A$1:$N$141,7,0)</f>
        <v>89333</v>
      </c>
      <c r="H92" s="3" t="str">
        <f>VLOOKUP($A92,'Employee Details'!$A$1:$N$141,8,0)</f>
        <v>High Salary</v>
      </c>
      <c r="I92" s="13">
        <f>VLOOKUP($A92,'Employee Details'!$A$1:$N$141,9,0)</f>
        <v>42687</v>
      </c>
      <c r="J92" s="3" t="str">
        <f>VLOOKUP($A92,'Employee Details'!$A$1:$N$141,10,0)</f>
        <v>November</v>
      </c>
      <c r="K92" s="3">
        <f ca="1">VLOOKUP($A92,'Employee Details'!$A$1:$N$141,11,0)</f>
        <v>3473</v>
      </c>
      <c r="L92" s="3">
        <f>VLOOKUP($A92,'Employee Details'!$A$1:$N$141,12,0)</f>
        <v>1</v>
      </c>
      <c r="M92" s="3" t="str">
        <f>VLOOKUP($A92,'Employee Details'!$A$1:$N$141,13,0)</f>
        <v>Male</v>
      </c>
    </row>
    <row r="93" spans="1:13" x14ac:dyDescent="0.25">
      <c r="A93" s="3" t="s">
        <v>193</v>
      </c>
      <c r="B93" s="3" t="str">
        <f>VLOOKUP($A93,'Employee Details'!$A$1:$N$141,2,0)</f>
        <v>Bob Johnson</v>
      </c>
      <c r="C93" s="3" t="str">
        <f>VLOOKUP($A93,'Employee Details'!$A$1:$N$141,3,0)</f>
        <v>Bob</v>
      </c>
      <c r="D93" s="3" t="str">
        <f>VLOOKUP($A93,'Employee Details'!$A$1:$N$141,4,0)</f>
        <v>Johnson</v>
      </c>
      <c r="E93" s="3" t="str">
        <f>VLOOKUP($A93,'Employee Details'!$A$1:$N$141,5,0)</f>
        <v>IT</v>
      </c>
      <c r="F93" s="3" t="str">
        <f>VLOOKUP($A93,'Employee Details'!$A$1:$N$141,6,0)</f>
        <v>Australia</v>
      </c>
      <c r="G93" s="3">
        <f>VLOOKUP($A93,'Employee Details'!$A$1:$N$141,7,0)</f>
        <v>70470</v>
      </c>
      <c r="H93" s="3" t="str">
        <f>VLOOKUP($A93,'Employee Details'!$A$1:$N$141,8,0)</f>
        <v>High Salary</v>
      </c>
      <c r="I93" s="13">
        <f>VLOOKUP($A93,'Employee Details'!$A$1:$N$141,9,0)</f>
        <v>42694</v>
      </c>
      <c r="J93" s="3" t="str">
        <f>VLOOKUP($A93,'Employee Details'!$A$1:$N$141,10,0)</f>
        <v>November</v>
      </c>
      <c r="K93" s="3">
        <f ca="1">VLOOKUP($A93,'Employee Details'!$A$1:$N$141,11,0)</f>
        <v>3466</v>
      </c>
      <c r="L93" s="3">
        <f>VLOOKUP($A93,'Employee Details'!$A$1:$N$141,12,0)</f>
        <v>3</v>
      </c>
      <c r="M93" s="3" t="str">
        <f>VLOOKUP($A93,'Employee Details'!$A$1:$N$141,13,0)</f>
        <v>Male</v>
      </c>
    </row>
    <row r="94" spans="1:13" x14ac:dyDescent="0.25">
      <c r="A94" s="3" t="s">
        <v>195</v>
      </c>
      <c r="B94" s="3" t="str">
        <f>VLOOKUP($A94,'Employee Details'!$A$1:$N$141,2,0)</f>
        <v>Eve Adams</v>
      </c>
      <c r="C94" s="3" t="str">
        <f>VLOOKUP($A94,'Employee Details'!$A$1:$N$141,3,0)</f>
        <v>Eve</v>
      </c>
      <c r="D94" s="3" t="str">
        <f>VLOOKUP($A94,'Employee Details'!$A$1:$N$141,4,0)</f>
        <v>Adams</v>
      </c>
      <c r="E94" s="3" t="str">
        <f>VLOOKUP($A94,'Employee Details'!$A$1:$N$141,5,0)</f>
        <v>Marketing</v>
      </c>
      <c r="F94" s="3" t="str">
        <f>VLOOKUP($A94,'Employee Details'!$A$1:$N$141,6,0)</f>
        <v>USA</v>
      </c>
      <c r="G94" s="3">
        <f>VLOOKUP($A94,'Employee Details'!$A$1:$N$141,7,0)</f>
        <v>70096</v>
      </c>
      <c r="H94" s="3" t="str">
        <f>VLOOKUP($A94,'Employee Details'!$A$1:$N$141,8,0)</f>
        <v>High Salary</v>
      </c>
      <c r="I94" s="13">
        <f>VLOOKUP($A94,'Employee Details'!$A$1:$N$141,9,0)</f>
        <v>42701</v>
      </c>
      <c r="J94" s="3" t="str">
        <f>VLOOKUP($A94,'Employee Details'!$A$1:$N$141,10,0)</f>
        <v>November</v>
      </c>
      <c r="K94" s="3">
        <f ca="1">VLOOKUP($A94,'Employee Details'!$A$1:$N$141,11,0)</f>
        <v>3459</v>
      </c>
      <c r="L94" s="3">
        <f>VLOOKUP($A94,'Employee Details'!$A$1:$N$141,12,0)</f>
        <v>4</v>
      </c>
      <c r="M94" s="3" t="str">
        <f>VLOOKUP($A94,'Employee Details'!$A$1:$N$141,13,0)</f>
        <v>Male</v>
      </c>
    </row>
    <row r="95" spans="1:13" x14ac:dyDescent="0.25">
      <c r="A95" s="3" t="s">
        <v>197</v>
      </c>
      <c r="B95" s="3" t="str">
        <f>VLOOKUP($A95,'Employee Details'!$A$1:$N$141,2,0)</f>
        <v>Bob Johnson</v>
      </c>
      <c r="C95" s="3" t="str">
        <f>VLOOKUP($A95,'Employee Details'!$A$1:$N$141,3,0)</f>
        <v>Bob</v>
      </c>
      <c r="D95" s="3" t="str">
        <f>VLOOKUP($A95,'Employee Details'!$A$1:$N$141,4,0)</f>
        <v>Johnson</v>
      </c>
      <c r="E95" s="3" t="str">
        <f>VLOOKUP($A95,'Employee Details'!$A$1:$N$141,5,0)</f>
        <v>Marketing</v>
      </c>
      <c r="F95" s="3" t="str">
        <f>VLOOKUP($A95,'Employee Details'!$A$1:$N$141,6,0)</f>
        <v>India</v>
      </c>
      <c r="G95" s="3">
        <f>VLOOKUP($A95,'Employee Details'!$A$1:$N$141,7,0)</f>
        <v>65882</v>
      </c>
      <c r="H95" s="3" t="str">
        <f>VLOOKUP($A95,'Employee Details'!$A$1:$N$141,8,0)</f>
        <v>Good Salary</v>
      </c>
      <c r="I95" s="13">
        <f>VLOOKUP($A95,'Employee Details'!$A$1:$N$141,9,0)</f>
        <v>42708</v>
      </c>
      <c r="J95" s="3" t="str">
        <f>VLOOKUP($A95,'Employee Details'!$A$1:$N$141,10,0)</f>
        <v>December</v>
      </c>
      <c r="K95" s="3">
        <f ca="1">VLOOKUP($A95,'Employee Details'!$A$1:$N$141,11,0)</f>
        <v>3452</v>
      </c>
      <c r="L95" s="3">
        <f>VLOOKUP($A95,'Employee Details'!$A$1:$N$141,12,0)</f>
        <v>2</v>
      </c>
      <c r="M95" s="3" t="str">
        <f>VLOOKUP($A95,'Employee Details'!$A$1:$N$141,13,0)</f>
        <v>Other</v>
      </c>
    </row>
    <row r="96" spans="1:13" x14ac:dyDescent="0.25">
      <c r="A96" s="3" t="s">
        <v>199</v>
      </c>
      <c r="B96" s="3" t="str">
        <f>VLOOKUP($A96,'Employee Details'!$A$1:$N$141,2,0)</f>
        <v>Bob Johnson</v>
      </c>
      <c r="C96" s="3" t="str">
        <f>VLOOKUP($A96,'Employee Details'!$A$1:$N$141,3,0)</f>
        <v>Bob</v>
      </c>
      <c r="D96" s="3" t="str">
        <f>VLOOKUP($A96,'Employee Details'!$A$1:$N$141,4,0)</f>
        <v>Johnson</v>
      </c>
      <c r="E96" s="3" t="str">
        <f>VLOOKUP($A96,'Employee Details'!$A$1:$N$141,5,0)</f>
        <v>IT</v>
      </c>
      <c r="F96" s="3" t="str">
        <f>VLOOKUP($A96,'Employee Details'!$A$1:$N$141,6,0)</f>
        <v>Germany</v>
      </c>
      <c r="G96" s="3">
        <f>VLOOKUP($A96,'Employee Details'!$A$1:$N$141,7,0)</f>
        <v>66503</v>
      </c>
      <c r="H96" s="3" t="str">
        <f>VLOOKUP($A96,'Employee Details'!$A$1:$N$141,8,0)</f>
        <v>Good Salary</v>
      </c>
      <c r="I96" s="13">
        <f>VLOOKUP($A96,'Employee Details'!$A$1:$N$141,9,0)</f>
        <v>42715</v>
      </c>
      <c r="J96" s="3" t="str">
        <f>VLOOKUP($A96,'Employee Details'!$A$1:$N$141,10,0)</f>
        <v>December</v>
      </c>
      <c r="K96" s="3">
        <f ca="1">VLOOKUP($A96,'Employee Details'!$A$1:$N$141,11,0)</f>
        <v>3445</v>
      </c>
      <c r="L96" s="3">
        <f>VLOOKUP($A96,'Employee Details'!$A$1:$N$141,12,0)</f>
        <v>3</v>
      </c>
      <c r="M96" s="3" t="str">
        <f>VLOOKUP($A96,'Employee Details'!$A$1:$N$141,13,0)</f>
        <v>Male</v>
      </c>
    </row>
    <row r="97" spans="1:13" x14ac:dyDescent="0.25">
      <c r="A97" s="3" t="s">
        <v>200</v>
      </c>
      <c r="B97" s="3" t="str">
        <f>VLOOKUP($A97,'Employee Details'!$A$1:$N$141,2,0)</f>
        <v>Alice Brown</v>
      </c>
      <c r="C97" s="3" t="str">
        <f>VLOOKUP($A97,'Employee Details'!$A$1:$N$141,3,0)</f>
        <v>Alice</v>
      </c>
      <c r="D97" s="3" t="str">
        <f>VLOOKUP($A97,'Employee Details'!$A$1:$N$141,4,0)</f>
        <v>Brown</v>
      </c>
      <c r="E97" s="3" t="str">
        <f>VLOOKUP($A97,'Employee Details'!$A$1:$N$141,5,0)</f>
        <v>HR</v>
      </c>
      <c r="F97" s="3" t="str">
        <f>VLOOKUP($A97,'Employee Details'!$A$1:$N$141,6,0)</f>
        <v>Germany</v>
      </c>
      <c r="G97" s="3">
        <f>VLOOKUP($A97,'Employee Details'!$A$1:$N$141,7,0)</f>
        <v>42096</v>
      </c>
      <c r="H97" s="3" t="str">
        <f>VLOOKUP($A97,'Employee Details'!$A$1:$N$141,8,0)</f>
        <v>Good Salary</v>
      </c>
      <c r="I97" s="13">
        <f>VLOOKUP($A97,'Employee Details'!$A$1:$N$141,9,0)</f>
        <v>42722</v>
      </c>
      <c r="J97" s="3" t="str">
        <f>VLOOKUP($A97,'Employee Details'!$A$1:$N$141,10,0)</f>
        <v>December</v>
      </c>
      <c r="K97" s="3">
        <f ca="1">VLOOKUP($A97,'Employee Details'!$A$1:$N$141,11,0)</f>
        <v>3438</v>
      </c>
      <c r="L97" s="3">
        <f>VLOOKUP($A97,'Employee Details'!$A$1:$N$141,12,0)</f>
        <v>3</v>
      </c>
      <c r="M97" s="3" t="str">
        <f>VLOOKUP($A97,'Employee Details'!$A$1:$N$141,13,0)</f>
        <v>Female</v>
      </c>
    </row>
    <row r="98" spans="1:13" x14ac:dyDescent="0.25">
      <c r="A98" s="3" t="s">
        <v>202</v>
      </c>
      <c r="B98" s="3" t="str">
        <f>VLOOKUP($A98,'Employee Details'!$A$1:$N$141,2,0)</f>
        <v>Alice Brown</v>
      </c>
      <c r="C98" s="3" t="str">
        <f>VLOOKUP($A98,'Employee Details'!$A$1:$N$141,3,0)</f>
        <v>Alice</v>
      </c>
      <c r="D98" s="3" t="str">
        <f>VLOOKUP($A98,'Employee Details'!$A$1:$N$141,4,0)</f>
        <v>Brown</v>
      </c>
      <c r="E98" s="3" t="str">
        <f>VLOOKUP($A98,'Employee Details'!$A$1:$N$141,5,0)</f>
        <v>Marketing</v>
      </c>
      <c r="F98" s="3" t="str">
        <f>VLOOKUP($A98,'Employee Details'!$A$1:$N$141,6,0)</f>
        <v>India</v>
      </c>
      <c r="G98" s="3">
        <f>VLOOKUP($A98,'Employee Details'!$A$1:$N$141,7,0)</f>
        <v>79145</v>
      </c>
      <c r="H98" s="3" t="str">
        <f>VLOOKUP($A98,'Employee Details'!$A$1:$N$141,8,0)</f>
        <v>High Salary</v>
      </c>
      <c r="I98" s="13">
        <f>VLOOKUP($A98,'Employee Details'!$A$1:$N$141,9,0)</f>
        <v>42729</v>
      </c>
      <c r="J98" s="3" t="str">
        <f>VLOOKUP($A98,'Employee Details'!$A$1:$N$141,10,0)</f>
        <v>December</v>
      </c>
      <c r="K98" s="3">
        <f ca="1">VLOOKUP($A98,'Employee Details'!$A$1:$N$141,11,0)</f>
        <v>3431</v>
      </c>
      <c r="L98" s="3">
        <f>VLOOKUP($A98,'Employee Details'!$A$1:$N$141,12,0)</f>
        <v>5</v>
      </c>
      <c r="M98" s="3" t="str">
        <f>VLOOKUP($A98,'Employee Details'!$A$1:$N$141,13,0)</f>
        <v>Other</v>
      </c>
    </row>
    <row r="99" spans="1:13" x14ac:dyDescent="0.25">
      <c r="A99" s="3" t="s">
        <v>203</v>
      </c>
      <c r="B99" s="3" t="str">
        <f>VLOOKUP($A99,'Employee Details'!$A$1:$N$141,2,0)</f>
        <v>Jane Smith</v>
      </c>
      <c r="C99" s="3" t="str">
        <f>VLOOKUP($A99,'Employee Details'!$A$1:$N$141,3,0)</f>
        <v>Jane</v>
      </c>
      <c r="D99" s="3" t="str">
        <f>VLOOKUP($A99,'Employee Details'!$A$1:$N$141,4,0)</f>
        <v>Smith</v>
      </c>
      <c r="E99" s="3" t="str">
        <f>VLOOKUP($A99,'Employee Details'!$A$1:$N$141,5,0)</f>
        <v>Marketing</v>
      </c>
      <c r="F99" s="3" t="str">
        <f>VLOOKUP($A99,'Employee Details'!$A$1:$N$141,6,0)</f>
        <v>Australia</v>
      </c>
      <c r="G99" s="3">
        <f>VLOOKUP($A99,'Employee Details'!$A$1:$N$141,7,0)</f>
        <v>61556</v>
      </c>
      <c r="H99" s="3" t="str">
        <f>VLOOKUP($A99,'Employee Details'!$A$1:$N$141,8,0)</f>
        <v>Good Salary</v>
      </c>
      <c r="I99" s="13">
        <f>VLOOKUP($A99,'Employee Details'!$A$1:$N$141,9,0)</f>
        <v>42736</v>
      </c>
      <c r="J99" s="3" t="str">
        <f>VLOOKUP($A99,'Employee Details'!$A$1:$N$141,10,0)</f>
        <v>January</v>
      </c>
      <c r="K99" s="3">
        <f ca="1">VLOOKUP($A99,'Employee Details'!$A$1:$N$141,11,0)</f>
        <v>3424</v>
      </c>
      <c r="L99" s="3">
        <f>VLOOKUP($A99,'Employee Details'!$A$1:$N$141,12,0)</f>
        <v>1</v>
      </c>
      <c r="M99" s="3" t="str">
        <f>VLOOKUP($A99,'Employee Details'!$A$1:$N$141,13,0)</f>
        <v>Not Specified</v>
      </c>
    </row>
    <row r="100" spans="1:13" x14ac:dyDescent="0.25">
      <c r="A100" s="3" t="s">
        <v>204</v>
      </c>
      <c r="B100" s="3" t="str">
        <f>VLOOKUP($A100,'Employee Details'!$A$1:$N$141,2,0)</f>
        <v>Eve Adams</v>
      </c>
      <c r="C100" s="3" t="str">
        <f>VLOOKUP($A100,'Employee Details'!$A$1:$N$141,3,0)</f>
        <v>Eve</v>
      </c>
      <c r="D100" s="3" t="str">
        <f>VLOOKUP($A100,'Employee Details'!$A$1:$N$141,4,0)</f>
        <v>Adams</v>
      </c>
      <c r="E100" s="3" t="str">
        <f>VLOOKUP($A100,'Employee Details'!$A$1:$N$141,5,0)</f>
        <v>IT</v>
      </c>
      <c r="F100" s="3" t="str">
        <f>VLOOKUP($A100,'Employee Details'!$A$1:$N$141,6,0)</f>
        <v>India</v>
      </c>
      <c r="G100" s="3">
        <f>VLOOKUP($A100,'Employee Details'!$A$1:$N$141,7,0)</f>
        <v>48325</v>
      </c>
      <c r="H100" s="3" t="str">
        <f>VLOOKUP($A100,'Employee Details'!$A$1:$N$141,8,0)</f>
        <v>Good Salary</v>
      </c>
      <c r="I100" s="13">
        <f>VLOOKUP($A100,'Employee Details'!$A$1:$N$141,9,0)</f>
        <v>42750</v>
      </c>
      <c r="J100" s="3" t="str">
        <f>VLOOKUP($A100,'Employee Details'!$A$1:$N$141,10,0)</f>
        <v>January</v>
      </c>
      <c r="K100" s="3">
        <f ca="1">VLOOKUP($A100,'Employee Details'!$A$1:$N$141,11,0)</f>
        <v>3410</v>
      </c>
      <c r="L100" s="3">
        <f>VLOOKUP($A100,'Employee Details'!$A$1:$N$141,12,0)</f>
        <v>3</v>
      </c>
      <c r="M100" s="3" t="str">
        <f>VLOOKUP($A100,'Employee Details'!$A$1:$N$141,13,0)</f>
        <v>Male</v>
      </c>
    </row>
    <row r="101" spans="1:13" x14ac:dyDescent="0.25">
      <c r="A101" s="3" t="s">
        <v>206</v>
      </c>
      <c r="B101" s="3" t="str">
        <f>VLOOKUP($A101,'Employee Details'!$A$1:$N$141,2,0)</f>
        <v>Sam Wilson</v>
      </c>
      <c r="C101" s="3" t="str">
        <f>VLOOKUP($A101,'Employee Details'!$A$1:$N$141,3,0)</f>
        <v>Sam</v>
      </c>
      <c r="D101" s="3" t="str">
        <f>VLOOKUP($A101,'Employee Details'!$A$1:$N$141,4,0)</f>
        <v>Wilson</v>
      </c>
      <c r="E101" s="3" t="str">
        <f>VLOOKUP($A101,'Employee Details'!$A$1:$N$141,5,0)</f>
        <v>Marketing</v>
      </c>
      <c r="F101" s="3" t="str">
        <f>VLOOKUP($A101,'Employee Details'!$A$1:$N$141,6,0)</f>
        <v>Australia</v>
      </c>
      <c r="G101" s="3">
        <f>VLOOKUP($A101,'Employee Details'!$A$1:$N$141,7,0)</f>
        <v>86412</v>
      </c>
      <c r="H101" s="3" t="str">
        <f>VLOOKUP($A101,'Employee Details'!$A$1:$N$141,8,0)</f>
        <v>High Salary</v>
      </c>
      <c r="I101" s="13">
        <f>VLOOKUP($A101,'Employee Details'!$A$1:$N$141,9,0)</f>
        <v>42757</v>
      </c>
      <c r="J101" s="3" t="str">
        <f>VLOOKUP($A101,'Employee Details'!$A$1:$N$141,10,0)</f>
        <v>January</v>
      </c>
      <c r="K101" s="3">
        <f ca="1">VLOOKUP($A101,'Employee Details'!$A$1:$N$141,11,0)</f>
        <v>3403</v>
      </c>
      <c r="L101" s="3">
        <f>VLOOKUP($A101,'Employee Details'!$A$1:$N$141,12,0)</f>
        <v>2</v>
      </c>
      <c r="M101" s="3" t="str">
        <f>VLOOKUP($A101,'Employee Details'!$A$1:$N$141,13,0)</f>
        <v>Female</v>
      </c>
    </row>
    <row r="102" spans="1:13" x14ac:dyDescent="0.25">
      <c r="A102" s="3" t="s">
        <v>207</v>
      </c>
      <c r="B102" s="3" t="str">
        <f>VLOOKUP($A102,'Employee Details'!$A$1:$N$141,2,0)</f>
        <v>Sam Wilson</v>
      </c>
      <c r="C102" s="3" t="str">
        <f>VLOOKUP($A102,'Employee Details'!$A$1:$N$141,3,0)</f>
        <v>Sam</v>
      </c>
      <c r="D102" s="3" t="str">
        <f>VLOOKUP($A102,'Employee Details'!$A$1:$N$141,4,0)</f>
        <v>Wilson</v>
      </c>
      <c r="E102" s="3" t="str">
        <f>VLOOKUP($A102,'Employee Details'!$A$1:$N$141,5,0)</f>
        <v>HR</v>
      </c>
      <c r="F102" s="3" t="str">
        <f>VLOOKUP($A102,'Employee Details'!$A$1:$N$141,6,0)</f>
        <v>India</v>
      </c>
      <c r="G102" s="3">
        <f>VLOOKUP($A102,'Employee Details'!$A$1:$N$141,7,0)</f>
        <v>66761</v>
      </c>
      <c r="H102" s="3" t="str">
        <f>VLOOKUP($A102,'Employee Details'!$A$1:$N$141,8,0)</f>
        <v>Good Salary</v>
      </c>
      <c r="I102" s="13">
        <f>VLOOKUP($A102,'Employee Details'!$A$1:$N$141,9,0)</f>
        <v>42764</v>
      </c>
      <c r="J102" s="3" t="str">
        <f>VLOOKUP($A102,'Employee Details'!$A$1:$N$141,10,0)</f>
        <v>January</v>
      </c>
      <c r="K102" s="3">
        <f ca="1">VLOOKUP($A102,'Employee Details'!$A$1:$N$141,11,0)</f>
        <v>3396</v>
      </c>
      <c r="L102" s="3">
        <f>VLOOKUP($A102,'Employee Details'!$A$1:$N$141,12,0)</f>
        <v>1</v>
      </c>
      <c r="M102" s="3" t="str">
        <f>VLOOKUP($A102,'Employee Details'!$A$1:$N$141,13,0)</f>
        <v>Not Specified</v>
      </c>
    </row>
    <row r="103" spans="1:13" x14ac:dyDescent="0.25">
      <c r="A103" s="3" t="s">
        <v>209</v>
      </c>
      <c r="B103" s="3" t="str">
        <f>VLOOKUP($A103,'Employee Details'!$A$1:$N$141,2,0)</f>
        <v>Jane Smith</v>
      </c>
      <c r="C103" s="3" t="str">
        <f>VLOOKUP($A103,'Employee Details'!$A$1:$N$141,3,0)</f>
        <v>Jane</v>
      </c>
      <c r="D103" s="3" t="str">
        <f>VLOOKUP($A103,'Employee Details'!$A$1:$N$141,4,0)</f>
        <v>Smith</v>
      </c>
      <c r="E103" s="3" t="str">
        <f>VLOOKUP($A103,'Employee Details'!$A$1:$N$141,5,0)</f>
        <v>Marketing</v>
      </c>
      <c r="F103" s="3" t="str">
        <f>VLOOKUP($A103,'Employee Details'!$A$1:$N$141,6,0)</f>
        <v>India</v>
      </c>
      <c r="G103" s="3">
        <f>VLOOKUP($A103,'Employee Details'!$A$1:$N$141,7,0)</f>
        <v>88850</v>
      </c>
      <c r="H103" s="3" t="str">
        <f>VLOOKUP($A103,'Employee Details'!$A$1:$N$141,8,0)</f>
        <v>High Salary</v>
      </c>
      <c r="I103" s="13">
        <f>VLOOKUP($A103,'Employee Details'!$A$1:$N$141,9,0)</f>
        <v>42771</v>
      </c>
      <c r="J103" s="3" t="str">
        <f>VLOOKUP($A103,'Employee Details'!$A$1:$N$141,10,0)</f>
        <v>February</v>
      </c>
      <c r="K103" s="3">
        <f ca="1">VLOOKUP($A103,'Employee Details'!$A$1:$N$141,11,0)</f>
        <v>3389</v>
      </c>
      <c r="L103" s="3">
        <f>VLOOKUP($A103,'Employee Details'!$A$1:$N$141,12,0)</f>
        <v>1</v>
      </c>
      <c r="M103" s="3" t="str">
        <f>VLOOKUP($A103,'Employee Details'!$A$1:$N$141,13,0)</f>
        <v>Female</v>
      </c>
    </row>
    <row r="104" spans="1:13" x14ac:dyDescent="0.25">
      <c r="A104" s="3" t="s">
        <v>211</v>
      </c>
      <c r="B104" s="3" t="str">
        <f>VLOOKUP($A104,'Employee Details'!$A$1:$N$141,2,0)</f>
        <v>Chris Lee</v>
      </c>
      <c r="C104" s="3" t="str">
        <f>VLOOKUP($A104,'Employee Details'!$A$1:$N$141,3,0)</f>
        <v>Chris</v>
      </c>
      <c r="D104" s="3" t="str">
        <f>VLOOKUP($A104,'Employee Details'!$A$1:$N$141,4,0)</f>
        <v>Lee</v>
      </c>
      <c r="E104" s="3" t="str">
        <f>VLOOKUP($A104,'Employee Details'!$A$1:$N$141,5,0)</f>
        <v>Sales</v>
      </c>
      <c r="F104" s="3" t="str">
        <f>VLOOKUP($A104,'Employee Details'!$A$1:$N$141,6,0)</f>
        <v>India</v>
      </c>
      <c r="G104" s="3">
        <f>VLOOKUP($A104,'Employee Details'!$A$1:$N$141,7,0)</f>
        <v>31293</v>
      </c>
      <c r="H104" s="3" t="str">
        <f>VLOOKUP($A104,'Employee Details'!$A$1:$N$141,8,0)</f>
        <v>Low Salary</v>
      </c>
      <c r="I104" s="13">
        <f>VLOOKUP($A104,'Employee Details'!$A$1:$N$141,9,0)</f>
        <v>42778</v>
      </c>
      <c r="J104" s="3" t="str">
        <f>VLOOKUP($A104,'Employee Details'!$A$1:$N$141,10,0)</f>
        <v>February</v>
      </c>
      <c r="K104" s="3">
        <f ca="1">VLOOKUP($A104,'Employee Details'!$A$1:$N$141,11,0)</f>
        <v>3382</v>
      </c>
      <c r="L104" s="3">
        <f>VLOOKUP($A104,'Employee Details'!$A$1:$N$141,12,0)</f>
        <v>2</v>
      </c>
      <c r="M104" s="3" t="str">
        <f>VLOOKUP($A104,'Employee Details'!$A$1:$N$141,13,0)</f>
        <v>Female</v>
      </c>
    </row>
    <row r="105" spans="1:13" x14ac:dyDescent="0.25">
      <c r="A105" s="3" t="s">
        <v>213</v>
      </c>
      <c r="B105" s="3" t="str">
        <f>VLOOKUP($A105,'Employee Details'!$A$1:$N$141,2,0)</f>
        <v>Chris Lee</v>
      </c>
      <c r="C105" s="3" t="str">
        <f>VLOOKUP($A105,'Employee Details'!$A$1:$N$141,3,0)</f>
        <v>Chris</v>
      </c>
      <c r="D105" s="3" t="str">
        <f>VLOOKUP($A105,'Employee Details'!$A$1:$N$141,4,0)</f>
        <v>Lee</v>
      </c>
      <c r="E105" s="3" t="str">
        <f>VLOOKUP($A105,'Employee Details'!$A$1:$N$141,5,0)</f>
        <v>IT</v>
      </c>
      <c r="F105" s="3" t="str">
        <f>VLOOKUP($A105,'Employee Details'!$A$1:$N$141,6,0)</f>
        <v>USA</v>
      </c>
      <c r="G105" s="3">
        <f>VLOOKUP($A105,'Employee Details'!$A$1:$N$141,7,0)</f>
        <v>34306</v>
      </c>
      <c r="H105" s="3" t="str">
        <f>VLOOKUP($A105,'Employee Details'!$A$1:$N$141,8,0)</f>
        <v>Low Salary</v>
      </c>
      <c r="I105" s="13">
        <f>VLOOKUP($A105,'Employee Details'!$A$1:$N$141,9,0)</f>
        <v>42785</v>
      </c>
      <c r="J105" s="3" t="str">
        <f>VLOOKUP($A105,'Employee Details'!$A$1:$N$141,10,0)</f>
        <v>February</v>
      </c>
      <c r="K105" s="3">
        <f ca="1">VLOOKUP($A105,'Employee Details'!$A$1:$N$141,11,0)</f>
        <v>3375</v>
      </c>
      <c r="L105" s="3">
        <f>VLOOKUP($A105,'Employee Details'!$A$1:$N$141,12,0)</f>
        <v>5</v>
      </c>
      <c r="M105" s="3" t="str">
        <f>VLOOKUP($A105,'Employee Details'!$A$1:$N$141,13,0)</f>
        <v>Female</v>
      </c>
    </row>
    <row r="106" spans="1:13" x14ac:dyDescent="0.25">
      <c r="A106" s="3" t="s">
        <v>214</v>
      </c>
      <c r="B106" s="3" t="str">
        <f>VLOOKUP($A106,'Employee Details'!$A$1:$N$141,2,0)</f>
        <v>Eve Adams</v>
      </c>
      <c r="C106" s="3" t="str">
        <f>VLOOKUP($A106,'Employee Details'!$A$1:$N$141,3,0)</f>
        <v>Eve</v>
      </c>
      <c r="D106" s="3" t="str">
        <f>VLOOKUP($A106,'Employee Details'!$A$1:$N$141,4,0)</f>
        <v>Adams</v>
      </c>
      <c r="E106" s="3" t="str">
        <f>VLOOKUP($A106,'Employee Details'!$A$1:$N$141,5,0)</f>
        <v>Finance</v>
      </c>
      <c r="F106" s="3" t="str">
        <f>VLOOKUP($A106,'Employee Details'!$A$1:$N$141,6,0)</f>
        <v>India</v>
      </c>
      <c r="G106" s="3">
        <f>VLOOKUP($A106,'Employee Details'!$A$1:$N$141,7,0)</f>
        <v>78330</v>
      </c>
      <c r="H106" s="3" t="str">
        <f>VLOOKUP($A106,'Employee Details'!$A$1:$N$141,8,0)</f>
        <v>High Salary</v>
      </c>
      <c r="I106" s="13">
        <f>VLOOKUP($A106,'Employee Details'!$A$1:$N$141,9,0)</f>
        <v>42792</v>
      </c>
      <c r="J106" s="3" t="str">
        <f>VLOOKUP($A106,'Employee Details'!$A$1:$N$141,10,0)</f>
        <v>February</v>
      </c>
      <c r="K106" s="3">
        <f ca="1">VLOOKUP($A106,'Employee Details'!$A$1:$N$141,11,0)</f>
        <v>3368</v>
      </c>
      <c r="L106" s="3">
        <f>VLOOKUP($A106,'Employee Details'!$A$1:$N$141,12,0)</f>
        <v>3</v>
      </c>
      <c r="M106" s="3" t="str">
        <f>VLOOKUP($A106,'Employee Details'!$A$1:$N$141,13,0)</f>
        <v>Other</v>
      </c>
    </row>
    <row r="107" spans="1:13" x14ac:dyDescent="0.25">
      <c r="A107" s="3" t="s">
        <v>215</v>
      </c>
      <c r="B107" s="3" t="str">
        <f>VLOOKUP($A107,'Employee Details'!$A$1:$N$141,2,0)</f>
        <v>Alice Brown</v>
      </c>
      <c r="C107" s="3" t="str">
        <f>VLOOKUP($A107,'Employee Details'!$A$1:$N$141,3,0)</f>
        <v>Alice</v>
      </c>
      <c r="D107" s="3" t="str">
        <f>VLOOKUP($A107,'Employee Details'!$A$1:$N$141,4,0)</f>
        <v>Brown</v>
      </c>
      <c r="E107" s="3" t="str">
        <f>VLOOKUP($A107,'Employee Details'!$A$1:$N$141,5,0)</f>
        <v>IT</v>
      </c>
      <c r="F107" s="3" t="str">
        <f>VLOOKUP($A107,'Employee Details'!$A$1:$N$141,6,0)</f>
        <v>USA</v>
      </c>
      <c r="G107" s="3">
        <f>VLOOKUP($A107,'Employee Details'!$A$1:$N$141,7,0)</f>
        <v>47653</v>
      </c>
      <c r="H107" s="3" t="str">
        <f>VLOOKUP($A107,'Employee Details'!$A$1:$N$141,8,0)</f>
        <v>Good Salary</v>
      </c>
      <c r="I107" s="13">
        <f>VLOOKUP($A107,'Employee Details'!$A$1:$N$141,9,0)</f>
        <v>42799</v>
      </c>
      <c r="J107" s="3" t="str">
        <f>VLOOKUP($A107,'Employee Details'!$A$1:$N$141,10,0)</f>
        <v>March</v>
      </c>
      <c r="K107" s="3">
        <f ca="1">VLOOKUP($A107,'Employee Details'!$A$1:$N$141,11,0)</f>
        <v>3361</v>
      </c>
      <c r="L107" s="3">
        <f>VLOOKUP($A107,'Employee Details'!$A$1:$N$141,12,0)</f>
        <v>1</v>
      </c>
      <c r="M107" s="3" t="str">
        <f>VLOOKUP($A107,'Employee Details'!$A$1:$N$141,13,0)</f>
        <v>Male</v>
      </c>
    </row>
    <row r="108" spans="1:13" x14ac:dyDescent="0.25">
      <c r="A108" s="3" t="s">
        <v>217</v>
      </c>
      <c r="B108" s="3" t="str">
        <f>VLOOKUP($A108,'Employee Details'!$A$1:$N$141,2,0)</f>
        <v>Eve Adams</v>
      </c>
      <c r="C108" s="3" t="str">
        <f>VLOOKUP($A108,'Employee Details'!$A$1:$N$141,3,0)</f>
        <v>Eve</v>
      </c>
      <c r="D108" s="3" t="str">
        <f>VLOOKUP($A108,'Employee Details'!$A$1:$N$141,4,0)</f>
        <v>Adams</v>
      </c>
      <c r="E108" s="3" t="str">
        <f>VLOOKUP($A108,'Employee Details'!$A$1:$N$141,5,0)</f>
        <v>Marketing</v>
      </c>
      <c r="F108" s="3" t="str">
        <f>VLOOKUP($A108,'Employee Details'!$A$1:$N$141,6,0)</f>
        <v>UK</v>
      </c>
      <c r="G108" s="3">
        <f>VLOOKUP($A108,'Employee Details'!$A$1:$N$141,7,0)</f>
        <v>44627</v>
      </c>
      <c r="H108" s="3" t="str">
        <f>VLOOKUP($A108,'Employee Details'!$A$1:$N$141,8,0)</f>
        <v>Good Salary</v>
      </c>
      <c r="I108" s="13">
        <f>VLOOKUP($A108,'Employee Details'!$A$1:$N$141,9,0)</f>
        <v>42806</v>
      </c>
      <c r="J108" s="3" t="str">
        <f>VLOOKUP($A108,'Employee Details'!$A$1:$N$141,10,0)</f>
        <v>March</v>
      </c>
      <c r="K108" s="3">
        <f ca="1">VLOOKUP($A108,'Employee Details'!$A$1:$N$141,11,0)</f>
        <v>3354</v>
      </c>
      <c r="L108" s="3">
        <f>VLOOKUP($A108,'Employee Details'!$A$1:$N$141,12,0)</f>
        <v>4</v>
      </c>
      <c r="M108" s="3" t="str">
        <f>VLOOKUP($A108,'Employee Details'!$A$1:$N$141,13,0)</f>
        <v>Not Specified</v>
      </c>
    </row>
    <row r="109" spans="1:13" x14ac:dyDescent="0.25">
      <c r="A109" s="3" t="s">
        <v>218</v>
      </c>
      <c r="B109" s="3" t="str">
        <f>VLOOKUP($A109,'Employee Details'!$A$1:$N$141,2,0)</f>
        <v>Bob Johnson</v>
      </c>
      <c r="C109" s="3" t="str">
        <f>VLOOKUP($A109,'Employee Details'!$A$1:$N$141,3,0)</f>
        <v>Bob</v>
      </c>
      <c r="D109" s="3" t="str">
        <f>VLOOKUP($A109,'Employee Details'!$A$1:$N$141,4,0)</f>
        <v>Johnson</v>
      </c>
      <c r="E109" s="3" t="str">
        <f>VLOOKUP($A109,'Employee Details'!$A$1:$N$141,5,0)</f>
        <v>HR</v>
      </c>
      <c r="F109" s="3" t="str">
        <f>VLOOKUP($A109,'Employee Details'!$A$1:$N$141,6,0)</f>
        <v>Germany</v>
      </c>
      <c r="G109" s="3">
        <f>VLOOKUP($A109,'Employee Details'!$A$1:$N$141,7,0)</f>
        <v>92343</v>
      </c>
      <c r="H109" s="3" t="str">
        <f>VLOOKUP($A109,'Employee Details'!$A$1:$N$141,8,0)</f>
        <v>High Salary</v>
      </c>
      <c r="I109" s="13">
        <f>VLOOKUP($A109,'Employee Details'!$A$1:$N$141,9,0)</f>
        <v>42813</v>
      </c>
      <c r="J109" s="3" t="str">
        <f>VLOOKUP($A109,'Employee Details'!$A$1:$N$141,10,0)</f>
        <v>March</v>
      </c>
      <c r="K109" s="3">
        <f ca="1">VLOOKUP($A109,'Employee Details'!$A$1:$N$141,11,0)</f>
        <v>3347</v>
      </c>
      <c r="L109" s="3">
        <f>VLOOKUP($A109,'Employee Details'!$A$1:$N$141,12,0)</f>
        <v>4</v>
      </c>
      <c r="M109" s="3" t="str">
        <f>VLOOKUP($A109,'Employee Details'!$A$1:$N$141,13,0)</f>
        <v>Female</v>
      </c>
    </row>
    <row r="110" spans="1:13" x14ac:dyDescent="0.25">
      <c r="A110" s="3" t="s">
        <v>219</v>
      </c>
      <c r="B110" s="3" t="str">
        <f>VLOOKUP($A110,'Employee Details'!$A$1:$N$141,2,0)</f>
        <v>Bob Johnson</v>
      </c>
      <c r="C110" s="3" t="str">
        <f>VLOOKUP($A110,'Employee Details'!$A$1:$N$141,3,0)</f>
        <v>Bob</v>
      </c>
      <c r="D110" s="3" t="str">
        <f>VLOOKUP($A110,'Employee Details'!$A$1:$N$141,4,0)</f>
        <v>Johnson</v>
      </c>
      <c r="E110" s="3" t="str">
        <f>VLOOKUP($A110,'Employee Details'!$A$1:$N$141,5,0)</f>
        <v>Marketing</v>
      </c>
      <c r="F110" s="3" t="str">
        <f>VLOOKUP($A110,'Employee Details'!$A$1:$N$141,6,0)</f>
        <v>Australia</v>
      </c>
      <c r="G110" s="3">
        <f>VLOOKUP($A110,'Employee Details'!$A$1:$N$141,7,0)</f>
        <v>38837</v>
      </c>
      <c r="H110" s="3" t="str">
        <f>VLOOKUP($A110,'Employee Details'!$A$1:$N$141,8,0)</f>
        <v>Low Salary</v>
      </c>
      <c r="I110" s="13">
        <f>VLOOKUP($A110,'Employee Details'!$A$1:$N$141,9,0)</f>
        <v>42820</v>
      </c>
      <c r="J110" s="3" t="str">
        <f>VLOOKUP($A110,'Employee Details'!$A$1:$N$141,10,0)</f>
        <v>March</v>
      </c>
      <c r="K110" s="3">
        <f ca="1">VLOOKUP($A110,'Employee Details'!$A$1:$N$141,11,0)</f>
        <v>3340</v>
      </c>
      <c r="L110" s="3">
        <f>VLOOKUP($A110,'Employee Details'!$A$1:$N$141,12,0)</f>
        <v>5</v>
      </c>
      <c r="M110" s="3" t="str">
        <f>VLOOKUP($A110,'Employee Details'!$A$1:$N$141,13,0)</f>
        <v>Female</v>
      </c>
    </row>
    <row r="111" spans="1:13" x14ac:dyDescent="0.25">
      <c r="A111" s="3" t="s">
        <v>220</v>
      </c>
      <c r="B111" s="3" t="str">
        <f>VLOOKUP($A111,'Employee Details'!$A$1:$N$141,2,0)</f>
        <v>Bob Johnson</v>
      </c>
      <c r="C111" s="3" t="str">
        <f>VLOOKUP($A111,'Employee Details'!$A$1:$N$141,3,0)</f>
        <v>Bob</v>
      </c>
      <c r="D111" s="3" t="str">
        <f>VLOOKUP($A111,'Employee Details'!$A$1:$N$141,4,0)</f>
        <v>Johnson</v>
      </c>
      <c r="E111" s="3" t="str">
        <f>VLOOKUP($A111,'Employee Details'!$A$1:$N$141,5,0)</f>
        <v>Marketing</v>
      </c>
      <c r="F111" s="3" t="str">
        <f>VLOOKUP($A111,'Employee Details'!$A$1:$N$141,6,0)</f>
        <v>India</v>
      </c>
      <c r="G111" s="3">
        <f>VLOOKUP($A111,'Employee Details'!$A$1:$N$141,7,0)</f>
        <v>73483</v>
      </c>
      <c r="H111" s="3" t="str">
        <f>VLOOKUP($A111,'Employee Details'!$A$1:$N$141,8,0)</f>
        <v>High Salary</v>
      </c>
      <c r="I111" s="13">
        <f>VLOOKUP($A111,'Employee Details'!$A$1:$N$141,9,0)</f>
        <v>42827</v>
      </c>
      <c r="J111" s="3" t="str">
        <f>VLOOKUP($A111,'Employee Details'!$A$1:$N$141,10,0)</f>
        <v>April</v>
      </c>
      <c r="K111" s="3">
        <f ca="1">VLOOKUP($A111,'Employee Details'!$A$1:$N$141,11,0)</f>
        <v>3333</v>
      </c>
      <c r="L111" s="3">
        <f>VLOOKUP($A111,'Employee Details'!$A$1:$N$141,12,0)</f>
        <v>1</v>
      </c>
      <c r="M111" s="3" t="str">
        <f>VLOOKUP($A111,'Employee Details'!$A$1:$N$141,13,0)</f>
        <v>Not Specified</v>
      </c>
    </row>
    <row r="112" spans="1:13" x14ac:dyDescent="0.25">
      <c r="A112" s="3" t="s">
        <v>222</v>
      </c>
      <c r="B112" s="3" t="str">
        <f>VLOOKUP($A112,'Employee Details'!$A$1:$N$141,2,0)</f>
        <v>Chris Lee</v>
      </c>
      <c r="C112" s="3" t="str">
        <f>VLOOKUP($A112,'Employee Details'!$A$1:$N$141,3,0)</f>
        <v>Chris</v>
      </c>
      <c r="D112" s="3" t="str">
        <f>VLOOKUP($A112,'Employee Details'!$A$1:$N$141,4,0)</f>
        <v>Lee</v>
      </c>
      <c r="E112" s="3" t="str">
        <f>VLOOKUP($A112,'Employee Details'!$A$1:$N$141,5,0)</f>
        <v>Sales</v>
      </c>
      <c r="F112" s="3" t="str">
        <f>VLOOKUP($A112,'Employee Details'!$A$1:$N$141,6,0)</f>
        <v>India</v>
      </c>
      <c r="G112" s="3">
        <f>VLOOKUP($A112,'Employee Details'!$A$1:$N$141,7,0)</f>
        <v>95032</v>
      </c>
      <c r="H112" s="3" t="str">
        <f>VLOOKUP($A112,'Employee Details'!$A$1:$N$141,8,0)</f>
        <v>High Salary</v>
      </c>
      <c r="I112" s="13">
        <f>VLOOKUP($A112,'Employee Details'!$A$1:$N$141,9,0)</f>
        <v>42834</v>
      </c>
      <c r="J112" s="3" t="str">
        <f>VLOOKUP($A112,'Employee Details'!$A$1:$N$141,10,0)</f>
        <v>April</v>
      </c>
      <c r="K112" s="3">
        <f ca="1">VLOOKUP($A112,'Employee Details'!$A$1:$N$141,11,0)</f>
        <v>3326</v>
      </c>
      <c r="L112" s="3">
        <f>VLOOKUP($A112,'Employee Details'!$A$1:$N$141,12,0)</f>
        <v>3</v>
      </c>
      <c r="M112" s="3" t="str">
        <f>VLOOKUP($A112,'Employee Details'!$A$1:$N$141,13,0)</f>
        <v>Not Specified</v>
      </c>
    </row>
    <row r="113" spans="1:13" x14ac:dyDescent="0.25">
      <c r="A113" s="3" t="s">
        <v>224</v>
      </c>
      <c r="B113" s="3" t="str">
        <f>VLOOKUP($A113,'Employee Details'!$A$1:$N$141,2,0)</f>
        <v>Eve Adams</v>
      </c>
      <c r="C113" s="3" t="str">
        <f>VLOOKUP($A113,'Employee Details'!$A$1:$N$141,3,0)</f>
        <v>Eve</v>
      </c>
      <c r="D113" s="3" t="str">
        <f>VLOOKUP($A113,'Employee Details'!$A$1:$N$141,4,0)</f>
        <v>Adams</v>
      </c>
      <c r="E113" s="3" t="str">
        <f>VLOOKUP($A113,'Employee Details'!$A$1:$N$141,5,0)</f>
        <v>Sales</v>
      </c>
      <c r="F113" s="3" t="str">
        <f>VLOOKUP($A113,'Employee Details'!$A$1:$N$141,6,0)</f>
        <v>Australia</v>
      </c>
      <c r="G113" s="3">
        <f>VLOOKUP($A113,'Employee Details'!$A$1:$N$141,7,0)</f>
        <v>44358</v>
      </c>
      <c r="H113" s="3" t="str">
        <f>VLOOKUP($A113,'Employee Details'!$A$1:$N$141,8,0)</f>
        <v>Good Salary</v>
      </c>
      <c r="I113" s="13">
        <f>VLOOKUP($A113,'Employee Details'!$A$1:$N$141,9,0)</f>
        <v>42841</v>
      </c>
      <c r="J113" s="3" t="str">
        <f>VLOOKUP($A113,'Employee Details'!$A$1:$N$141,10,0)</f>
        <v>April</v>
      </c>
      <c r="K113" s="3">
        <f ca="1">VLOOKUP($A113,'Employee Details'!$A$1:$N$141,11,0)</f>
        <v>3319</v>
      </c>
      <c r="L113" s="3">
        <f>VLOOKUP($A113,'Employee Details'!$A$1:$N$141,12,0)</f>
        <v>3</v>
      </c>
      <c r="M113" s="3" t="str">
        <f>VLOOKUP($A113,'Employee Details'!$A$1:$N$141,13,0)</f>
        <v>Female</v>
      </c>
    </row>
    <row r="114" spans="1:13" x14ac:dyDescent="0.25">
      <c r="A114" s="3" t="s">
        <v>225</v>
      </c>
      <c r="B114" s="3" t="str">
        <f>VLOOKUP($A114,'Employee Details'!$A$1:$N$141,2,0)</f>
        <v>Chris Lee</v>
      </c>
      <c r="C114" s="3" t="str">
        <f>VLOOKUP($A114,'Employee Details'!$A$1:$N$141,3,0)</f>
        <v>Chris</v>
      </c>
      <c r="D114" s="3" t="str">
        <f>VLOOKUP($A114,'Employee Details'!$A$1:$N$141,4,0)</f>
        <v>Lee</v>
      </c>
      <c r="E114" s="3" t="str">
        <f>VLOOKUP($A114,'Employee Details'!$A$1:$N$141,5,0)</f>
        <v>Sales</v>
      </c>
      <c r="F114" s="3" t="str">
        <f>VLOOKUP($A114,'Employee Details'!$A$1:$N$141,6,0)</f>
        <v>USA</v>
      </c>
      <c r="G114" s="3">
        <f>VLOOKUP($A114,'Employee Details'!$A$1:$N$141,7,0)</f>
        <v>45676</v>
      </c>
      <c r="H114" s="3" t="str">
        <f>VLOOKUP($A114,'Employee Details'!$A$1:$N$141,8,0)</f>
        <v>Good Salary</v>
      </c>
      <c r="I114" s="13">
        <f>VLOOKUP($A114,'Employee Details'!$A$1:$N$141,9,0)</f>
        <v>42855</v>
      </c>
      <c r="J114" s="3" t="str">
        <f>VLOOKUP($A114,'Employee Details'!$A$1:$N$141,10,0)</f>
        <v>April</v>
      </c>
      <c r="K114" s="3">
        <f ca="1">VLOOKUP($A114,'Employee Details'!$A$1:$N$141,11,0)</f>
        <v>3305</v>
      </c>
      <c r="L114" s="3">
        <f>VLOOKUP($A114,'Employee Details'!$A$1:$N$141,12,0)</f>
        <v>2</v>
      </c>
      <c r="M114" s="3" t="str">
        <f>VLOOKUP($A114,'Employee Details'!$A$1:$N$141,13,0)</f>
        <v>Not Specified</v>
      </c>
    </row>
    <row r="115" spans="1:13" x14ac:dyDescent="0.25">
      <c r="A115" s="3" t="s">
        <v>227</v>
      </c>
      <c r="B115" s="3" t="str">
        <f>VLOOKUP($A115,'Employee Details'!$A$1:$N$141,2,0)</f>
        <v>Bob Johnson</v>
      </c>
      <c r="C115" s="3" t="str">
        <f>VLOOKUP($A115,'Employee Details'!$A$1:$N$141,3,0)</f>
        <v>Bob</v>
      </c>
      <c r="D115" s="3" t="str">
        <f>VLOOKUP($A115,'Employee Details'!$A$1:$N$141,4,0)</f>
        <v>Johnson</v>
      </c>
      <c r="E115" s="3" t="str">
        <f>VLOOKUP($A115,'Employee Details'!$A$1:$N$141,5,0)</f>
        <v>Sales</v>
      </c>
      <c r="F115" s="3" t="str">
        <f>VLOOKUP($A115,'Employee Details'!$A$1:$N$141,6,0)</f>
        <v>Germany</v>
      </c>
      <c r="G115" s="3">
        <f>VLOOKUP($A115,'Employee Details'!$A$1:$N$141,7,0)</f>
        <v>52036</v>
      </c>
      <c r="H115" s="3" t="str">
        <f>VLOOKUP($A115,'Employee Details'!$A$1:$N$141,8,0)</f>
        <v>Good Salary</v>
      </c>
      <c r="I115" s="13">
        <f>VLOOKUP($A115,'Employee Details'!$A$1:$N$141,9,0)</f>
        <v>42862</v>
      </c>
      <c r="J115" s="3" t="str">
        <f>VLOOKUP($A115,'Employee Details'!$A$1:$N$141,10,0)</f>
        <v>May</v>
      </c>
      <c r="K115" s="3">
        <f ca="1">VLOOKUP($A115,'Employee Details'!$A$1:$N$141,11,0)</f>
        <v>3298</v>
      </c>
      <c r="L115" s="3">
        <f>VLOOKUP($A115,'Employee Details'!$A$1:$N$141,12,0)</f>
        <v>3</v>
      </c>
      <c r="M115" s="3" t="str">
        <f>VLOOKUP($A115,'Employee Details'!$A$1:$N$141,13,0)</f>
        <v>Male</v>
      </c>
    </row>
    <row r="116" spans="1:13" x14ac:dyDescent="0.25">
      <c r="A116" s="3" t="s">
        <v>229</v>
      </c>
      <c r="B116" s="3" t="str">
        <f>VLOOKUP($A116,'Employee Details'!$A$1:$N$141,2,0)</f>
        <v>Jane Smith</v>
      </c>
      <c r="C116" s="3" t="str">
        <f>VLOOKUP($A116,'Employee Details'!$A$1:$N$141,3,0)</f>
        <v>Jane</v>
      </c>
      <c r="D116" s="3" t="str">
        <f>VLOOKUP($A116,'Employee Details'!$A$1:$N$141,4,0)</f>
        <v>Smith</v>
      </c>
      <c r="E116" s="3" t="str">
        <f>VLOOKUP($A116,'Employee Details'!$A$1:$N$141,5,0)</f>
        <v>Marketing</v>
      </c>
      <c r="F116" s="3" t="str">
        <f>VLOOKUP($A116,'Employee Details'!$A$1:$N$141,6,0)</f>
        <v>Germany</v>
      </c>
      <c r="G116" s="3">
        <f>VLOOKUP($A116,'Employee Details'!$A$1:$N$141,7,0)</f>
        <v>30357</v>
      </c>
      <c r="H116" s="3" t="str">
        <f>VLOOKUP($A116,'Employee Details'!$A$1:$N$141,8,0)</f>
        <v>Low Salary</v>
      </c>
      <c r="I116" s="13">
        <f>VLOOKUP($A116,'Employee Details'!$A$1:$N$141,9,0)</f>
        <v>42869</v>
      </c>
      <c r="J116" s="3" t="str">
        <f>VLOOKUP($A116,'Employee Details'!$A$1:$N$141,10,0)</f>
        <v>May</v>
      </c>
      <c r="K116" s="3">
        <f ca="1">VLOOKUP($A116,'Employee Details'!$A$1:$N$141,11,0)</f>
        <v>3291</v>
      </c>
      <c r="L116" s="3">
        <f>VLOOKUP($A116,'Employee Details'!$A$1:$N$141,12,0)</f>
        <v>5</v>
      </c>
      <c r="M116" s="3" t="str">
        <f>VLOOKUP($A116,'Employee Details'!$A$1:$N$141,13,0)</f>
        <v>Male</v>
      </c>
    </row>
    <row r="117" spans="1:13" x14ac:dyDescent="0.25">
      <c r="A117" s="3" t="s">
        <v>230</v>
      </c>
      <c r="B117" s="3" t="str">
        <f>VLOOKUP($A117,'Employee Details'!$A$1:$N$141,2,0)</f>
        <v>John Doe</v>
      </c>
      <c r="C117" s="3" t="str">
        <f>VLOOKUP($A117,'Employee Details'!$A$1:$N$141,3,0)</f>
        <v>John</v>
      </c>
      <c r="D117" s="3" t="str">
        <f>VLOOKUP($A117,'Employee Details'!$A$1:$N$141,4,0)</f>
        <v>Doe</v>
      </c>
      <c r="E117" s="3" t="str">
        <f>VLOOKUP($A117,'Employee Details'!$A$1:$N$141,5,0)</f>
        <v>IT</v>
      </c>
      <c r="F117" s="3" t="str">
        <f>VLOOKUP($A117,'Employee Details'!$A$1:$N$141,6,0)</f>
        <v>India</v>
      </c>
      <c r="G117" s="3">
        <f>VLOOKUP($A117,'Employee Details'!$A$1:$N$141,7,0)</f>
        <v>60034</v>
      </c>
      <c r="H117" s="3" t="str">
        <f>VLOOKUP($A117,'Employee Details'!$A$1:$N$141,8,0)</f>
        <v>Good Salary</v>
      </c>
      <c r="I117" s="13">
        <f>VLOOKUP($A117,'Employee Details'!$A$1:$N$141,9,0)</f>
        <v>42876</v>
      </c>
      <c r="J117" s="3" t="str">
        <f>VLOOKUP($A117,'Employee Details'!$A$1:$N$141,10,0)</f>
        <v>May</v>
      </c>
      <c r="K117" s="3">
        <f ca="1">VLOOKUP($A117,'Employee Details'!$A$1:$N$141,11,0)</f>
        <v>3284</v>
      </c>
      <c r="L117" s="3">
        <f>VLOOKUP($A117,'Employee Details'!$A$1:$N$141,12,0)</f>
        <v>1</v>
      </c>
      <c r="M117" s="3" t="str">
        <f>VLOOKUP($A117,'Employee Details'!$A$1:$N$141,13,0)</f>
        <v>Female</v>
      </c>
    </row>
    <row r="118" spans="1:13" x14ac:dyDescent="0.25">
      <c r="A118" s="3" t="s">
        <v>232</v>
      </c>
      <c r="B118" s="3" t="str">
        <f>VLOOKUP($A118,'Employee Details'!$A$1:$N$141,2,0)</f>
        <v>John Doe</v>
      </c>
      <c r="C118" s="3" t="str">
        <f>VLOOKUP($A118,'Employee Details'!$A$1:$N$141,3,0)</f>
        <v>John</v>
      </c>
      <c r="D118" s="3" t="str">
        <f>VLOOKUP($A118,'Employee Details'!$A$1:$N$141,4,0)</f>
        <v>Doe</v>
      </c>
      <c r="E118" s="3" t="str">
        <f>VLOOKUP($A118,'Employee Details'!$A$1:$N$141,5,0)</f>
        <v>Finance</v>
      </c>
      <c r="F118" s="3" t="str">
        <f>VLOOKUP($A118,'Employee Details'!$A$1:$N$141,6,0)</f>
        <v>India</v>
      </c>
      <c r="G118" s="3">
        <f>VLOOKUP($A118,'Employee Details'!$A$1:$N$141,7,0)</f>
        <v>90019</v>
      </c>
      <c r="H118" s="3" t="str">
        <f>VLOOKUP($A118,'Employee Details'!$A$1:$N$141,8,0)</f>
        <v>High Salary</v>
      </c>
      <c r="I118" s="13">
        <f>VLOOKUP($A118,'Employee Details'!$A$1:$N$141,9,0)</f>
        <v>42883</v>
      </c>
      <c r="J118" s="3" t="str">
        <f>VLOOKUP($A118,'Employee Details'!$A$1:$N$141,10,0)</f>
        <v>May</v>
      </c>
      <c r="K118" s="3">
        <f ca="1">VLOOKUP($A118,'Employee Details'!$A$1:$N$141,11,0)</f>
        <v>3277</v>
      </c>
      <c r="L118" s="3">
        <f>VLOOKUP($A118,'Employee Details'!$A$1:$N$141,12,0)</f>
        <v>5</v>
      </c>
      <c r="M118" s="3" t="str">
        <f>VLOOKUP($A118,'Employee Details'!$A$1:$N$141,13,0)</f>
        <v>Not Specified</v>
      </c>
    </row>
    <row r="119" spans="1:13" x14ac:dyDescent="0.25">
      <c r="A119" s="3" t="s">
        <v>234</v>
      </c>
      <c r="B119" s="3" t="str">
        <f>VLOOKUP($A119,'Employee Details'!$A$1:$N$141,2,0)</f>
        <v>Bob Johnson</v>
      </c>
      <c r="C119" s="3" t="str">
        <f>VLOOKUP($A119,'Employee Details'!$A$1:$N$141,3,0)</f>
        <v>Bob</v>
      </c>
      <c r="D119" s="3" t="str">
        <f>VLOOKUP($A119,'Employee Details'!$A$1:$N$141,4,0)</f>
        <v>Johnson</v>
      </c>
      <c r="E119" s="3" t="str">
        <f>VLOOKUP($A119,'Employee Details'!$A$1:$N$141,5,0)</f>
        <v>Marketing</v>
      </c>
      <c r="F119" s="3" t="str">
        <f>VLOOKUP($A119,'Employee Details'!$A$1:$N$141,6,0)</f>
        <v>Germany</v>
      </c>
      <c r="G119" s="3">
        <f>VLOOKUP($A119,'Employee Details'!$A$1:$N$141,7,0)</f>
        <v>71494</v>
      </c>
      <c r="H119" s="3" t="str">
        <f>VLOOKUP($A119,'Employee Details'!$A$1:$N$141,8,0)</f>
        <v>High Salary</v>
      </c>
      <c r="I119" s="13">
        <f>VLOOKUP($A119,'Employee Details'!$A$1:$N$141,9,0)</f>
        <v>42890</v>
      </c>
      <c r="J119" s="3" t="str">
        <f>VLOOKUP($A119,'Employee Details'!$A$1:$N$141,10,0)</f>
        <v>June</v>
      </c>
      <c r="K119" s="3">
        <f ca="1">VLOOKUP($A119,'Employee Details'!$A$1:$N$141,11,0)</f>
        <v>3270</v>
      </c>
      <c r="L119" s="3">
        <f>VLOOKUP($A119,'Employee Details'!$A$1:$N$141,12,0)</f>
        <v>3</v>
      </c>
      <c r="M119" s="3" t="str">
        <f>VLOOKUP($A119,'Employee Details'!$A$1:$N$141,13,0)</f>
        <v>Male</v>
      </c>
    </row>
    <row r="120" spans="1:13" x14ac:dyDescent="0.25">
      <c r="A120" s="3" t="s">
        <v>236</v>
      </c>
      <c r="B120" s="3" t="str">
        <f>VLOOKUP($A120,'Employee Details'!$A$1:$N$141,2,0)</f>
        <v>John Doe</v>
      </c>
      <c r="C120" s="3" t="str">
        <f>VLOOKUP($A120,'Employee Details'!$A$1:$N$141,3,0)</f>
        <v>John</v>
      </c>
      <c r="D120" s="3" t="str">
        <f>VLOOKUP($A120,'Employee Details'!$A$1:$N$141,4,0)</f>
        <v>Doe</v>
      </c>
      <c r="E120" s="3" t="str">
        <f>VLOOKUP($A120,'Employee Details'!$A$1:$N$141,5,0)</f>
        <v>Finance</v>
      </c>
      <c r="F120" s="3" t="str">
        <f>VLOOKUP($A120,'Employee Details'!$A$1:$N$141,6,0)</f>
        <v>USA</v>
      </c>
      <c r="G120" s="3">
        <f>VLOOKUP($A120,'Employee Details'!$A$1:$N$141,7,0)</f>
        <v>91953</v>
      </c>
      <c r="H120" s="3" t="str">
        <f>VLOOKUP($A120,'Employee Details'!$A$1:$N$141,8,0)</f>
        <v>High Salary</v>
      </c>
      <c r="I120" s="13">
        <f>VLOOKUP($A120,'Employee Details'!$A$1:$N$141,9,0)</f>
        <v>42897</v>
      </c>
      <c r="J120" s="3" t="str">
        <f>VLOOKUP($A120,'Employee Details'!$A$1:$N$141,10,0)</f>
        <v>June</v>
      </c>
      <c r="K120" s="3">
        <f ca="1">VLOOKUP($A120,'Employee Details'!$A$1:$N$141,11,0)</f>
        <v>3263</v>
      </c>
      <c r="L120" s="3">
        <f>VLOOKUP($A120,'Employee Details'!$A$1:$N$141,12,0)</f>
        <v>2</v>
      </c>
      <c r="M120" s="3" t="str">
        <f>VLOOKUP($A120,'Employee Details'!$A$1:$N$141,13,0)</f>
        <v>Male</v>
      </c>
    </row>
    <row r="121" spans="1:13" x14ac:dyDescent="0.25">
      <c r="A121" s="3" t="s">
        <v>237</v>
      </c>
      <c r="B121" s="3" t="str">
        <f>VLOOKUP($A121,'Employee Details'!$A$1:$N$141,2,0)</f>
        <v>Chris Lee</v>
      </c>
      <c r="C121" s="3" t="str">
        <f>VLOOKUP($A121,'Employee Details'!$A$1:$N$141,3,0)</f>
        <v>Chris</v>
      </c>
      <c r="D121" s="3" t="str">
        <f>VLOOKUP($A121,'Employee Details'!$A$1:$N$141,4,0)</f>
        <v>Lee</v>
      </c>
      <c r="E121" s="3" t="str">
        <f>VLOOKUP($A121,'Employee Details'!$A$1:$N$141,5,0)</f>
        <v>Sales</v>
      </c>
      <c r="F121" s="3" t="str">
        <f>VLOOKUP($A121,'Employee Details'!$A$1:$N$141,6,0)</f>
        <v>USA</v>
      </c>
      <c r="G121" s="3">
        <f>VLOOKUP($A121,'Employee Details'!$A$1:$N$141,7,0)</f>
        <v>30402</v>
      </c>
      <c r="H121" s="3" t="str">
        <f>VLOOKUP($A121,'Employee Details'!$A$1:$N$141,8,0)</f>
        <v>Low Salary</v>
      </c>
      <c r="I121" s="13">
        <f>VLOOKUP($A121,'Employee Details'!$A$1:$N$141,9,0)</f>
        <v>42904</v>
      </c>
      <c r="J121" s="3" t="str">
        <f>VLOOKUP($A121,'Employee Details'!$A$1:$N$141,10,0)</f>
        <v>June</v>
      </c>
      <c r="K121" s="3">
        <f ca="1">VLOOKUP($A121,'Employee Details'!$A$1:$N$141,11,0)</f>
        <v>3256</v>
      </c>
      <c r="L121" s="3">
        <f>VLOOKUP($A121,'Employee Details'!$A$1:$N$141,12,0)</f>
        <v>1</v>
      </c>
      <c r="M121" s="3" t="str">
        <f>VLOOKUP($A121,'Employee Details'!$A$1:$N$141,13,0)</f>
        <v>Not Specified</v>
      </c>
    </row>
    <row r="122" spans="1:13" x14ac:dyDescent="0.25">
      <c r="A122" s="3" t="s">
        <v>239</v>
      </c>
      <c r="B122" s="3" t="str">
        <f>VLOOKUP($A122,'Employee Details'!$A$1:$N$141,2,0)</f>
        <v>Bob Johnson</v>
      </c>
      <c r="C122" s="3" t="str">
        <f>VLOOKUP($A122,'Employee Details'!$A$1:$N$141,3,0)</f>
        <v>Bob</v>
      </c>
      <c r="D122" s="3" t="str">
        <f>VLOOKUP($A122,'Employee Details'!$A$1:$N$141,4,0)</f>
        <v>Johnson</v>
      </c>
      <c r="E122" s="3" t="str">
        <f>VLOOKUP($A122,'Employee Details'!$A$1:$N$141,5,0)</f>
        <v>Marketing</v>
      </c>
      <c r="F122" s="3" t="str">
        <f>VLOOKUP($A122,'Employee Details'!$A$1:$N$141,6,0)</f>
        <v>UK</v>
      </c>
      <c r="G122" s="3">
        <f>VLOOKUP($A122,'Employee Details'!$A$1:$N$141,7,0)</f>
        <v>62994</v>
      </c>
      <c r="H122" s="3" t="str">
        <f>VLOOKUP($A122,'Employee Details'!$A$1:$N$141,8,0)</f>
        <v>Good Salary</v>
      </c>
      <c r="I122" s="13">
        <f>VLOOKUP($A122,'Employee Details'!$A$1:$N$141,9,0)</f>
        <v>42911</v>
      </c>
      <c r="J122" s="3" t="str">
        <f>VLOOKUP($A122,'Employee Details'!$A$1:$N$141,10,0)</f>
        <v>June</v>
      </c>
      <c r="K122" s="3">
        <f ca="1">VLOOKUP($A122,'Employee Details'!$A$1:$N$141,11,0)</f>
        <v>3249</v>
      </c>
      <c r="L122" s="3">
        <f>VLOOKUP($A122,'Employee Details'!$A$1:$N$141,12,0)</f>
        <v>3</v>
      </c>
      <c r="M122" s="3" t="str">
        <f>VLOOKUP($A122,'Employee Details'!$A$1:$N$141,13,0)</f>
        <v>Not Specified</v>
      </c>
    </row>
    <row r="123" spans="1:13" x14ac:dyDescent="0.25">
      <c r="A123" s="3" t="s">
        <v>240</v>
      </c>
      <c r="B123" s="3" t="str">
        <f>VLOOKUP($A123,'Employee Details'!$A$1:$N$141,2,0)</f>
        <v>Alice Brown</v>
      </c>
      <c r="C123" s="3" t="str">
        <f>VLOOKUP($A123,'Employee Details'!$A$1:$N$141,3,0)</f>
        <v>Alice</v>
      </c>
      <c r="D123" s="3" t="str">
        <f>VLOOKUP($A123,'Employee Details'!$A$1:$N$141,4,0)</f>
        <v>Brown</v>
      </c>
      <c r="E123" s="3" t="str">
        <f>VLOOKUP($A123,'Employee Details'!$A$1:$N$141,5,0)</f>
        <v>Sales</v>
      </c>
      <c r="F123" s="3" t="str">
        <f>VLOOKUP($A123,'Employee Details'!$A$1:$N$141,6,0)</f>
        <v>India</v>
      </c>
      <c r="G123" s="3">
        <f>VLOOKUP($A123,'Employee Details'!$A$1:$N$141,7,0)</f>
        <v>48289</v>
      </c>
      <c r="H123" s="3" t="str">
        <f>VLOOKUP($A123,'Employee Details'!$A$1:$N$141,8,0)</f>
        <v>Good Salary</v>
      </c>
      <c r="I123" s="13">
        <f>VLOOKUP($A123,'Employee Details'!$A$1:$N$141,9,0)</f>
        <v>42917</v>
      </c>
      <c r="J123" s="3" t="str">
        <f>VLOOKUP($A123,'Employee Details'!$A$1:$N$141,10,0)</f>
        <v>July</v>
      </c>
      <c r="K123" s="3">
        <f ca="1">VLOOKUP($A123,'Employee Details'!$A$1:$N$141,11,0)</f>
        <v>3243</v>
      </c>
      <c r="L123" s="3">
        <f>VLOOKUP($A123,'Employee Details'!$A$1:$N$141,12,0)</f>
        <v>3</v>
      </c>
      <c r="M123" s="3" t="str">
        <f>VLOOKUP($A123,'Employee Details'!$A$1:$N$141,13,0)</f>
        <v>Male</v>
      </c>
    </row>
    <row r="124" spans="1:13" x14ac:dyDescent="0.25">
      <c r="A124" s="3" t="s">
        <v>241</v>
      </c>
      <c r="B124" s="3" t="str">
        <f>VLOOKUP($A124,'Employee Details'!$A$1:$N$141,2,0)</f>
        <v>Sam Wilson</v>
      </c>
      <c r="C124" s="3" t="str">
        <f>VLOOKUP($A124,'Employee Details'!$A$1:$N$141,3,0)</f>
        <v>Sam</v>
      </c>
      <c r="D124" s="3" t="str">
        <f>VLOOKUP($A124,'Employee Details'!$A$1:$N$141,4,0)</f>
        <v>Wilson</v>
      </c>
      <c r="E124" s="3" t="str">
        <f>VLOOKUP($A124,'Employee Details'!$A$1:$N$141,5,0)</f>
        <v>Marketing</v>
      </c>
      <c r="F124" s="3" t="str">
        <f>VLOOKUP($A124,'Employee Details'!$A$1:$N$141,6,0)</f>
        <v>Germany</v>
      </c>
      <c r="G124" s="3">
        <f>VLOOKUP($A124,'Employee Details'!$A$1:$N$141,7,0)</f>
        <v>34402</v>
      </c>
      <c r="H124" s="3" t="str">
        <f>VLOOKUP($A124,'Employee Details'!$A$1:$N$141,8,0)</f>
        <v>Low Salary</v>
      </c>
      <c r="I124" s="13">
        <f>VLOOKUP($A124,'Employee Details'!$A$1:$N$141,9,0)</f>
        <v>42925</v>
      </c>
      <c r="J124" s="3" t="str">
        <f>VLOOKUP($A124,'Employee Details'!$A$1:$N$141,10,0)</f>
        <v>July</v>
      </c>
      <c r="K124" s="3">
        <f ca="1">VLOOKUP($A124,'Employee Details'!$A$1:$N$141,11,0)</f>
        <v>3235</v>
      </c>
      <c r="L124" s="3">
        <f>VLOOKUP($A124,'Employee Details'!$A$1:$N$141,12,0)</f>
        <v>3</v>
      </c>
      <c r="M124" s="3" t="str">
        <f>VLOOKUP($A124,'Employee Details'!$A$1:$N$141,13,0)</f>
        <v>Other</v>
      </c>
    </row>
    <row r="125" spans="1:13" x14ac:dyDescent="0.25">
      <c r="A125" s="3" t="s">
        <v>242</v>
      </c>
      <c r="B125" s="3" t="str">
        <f>VLOOKUP($A125,'Employee Details'!$A$1:$N$141,2,0)</f>
        <v>Eve Adams</v>
      </c>
      <c r="C125" s="3" t="str">
        <f>VLOOKUP($A125,'Employee Details'!$A$1:$N$141,3,0)</f>
        <v>Eve</v>
      </c>
      <c r="D125" s="3" t="str">
        <f>VLOOKUP($A125,'Employee Details'!$A$1:$N$141,4,0)</f>
        <v>Adams</v>
      </c>
      <c r="E125" s="3" t="str">
        <f>VLOOKUP($A125,'Employee Details'!$A$1:$N$141,5,0)</f>
        <v>HR</v>
      </c>
      <c r="F125" s="3" t="str">
        <f>VLOOKUP($A125,'Employee Details'!$A$1:$N$141,6,0)</f>
        <v>USA</v>
      </c>
      <c r="G125" s="3">
        <f>VLOOKUP($A125,'Employee Details'!$A$1:$N$141,7,0)</f>
        <v>38678</v>
      </c>
      <c r="H125" s="3" t="str">
        <f>VLOOKUP($A125,'Employee Details'!$A$1:$N$141,8,0)</f>
        <v>Low Salary</v>
      </c>
      <c r="I125" s="13">
        <f>VLOOKUP($A125,'Employee Details'!$A$1:$N$141,9,0)</f>
        <v>42932</v>
      </c>
      <c r="J125" s="3" t="str">
        <f>VLOOKUP($A125,'Employee Details'!$A$1:$N$141,10,0)</f>
        <v>July</v>
      </c>
      <c r="K125" s="3">
        <f ca="1">VLOOKUP($A125,'Employee Details'!$A$1:$N$141,11,0)</f>
        <v>3228</v>
      </c>
      <c r="L125" s="3">
        <f>VLOOKUP($A125,'Employee Details'!$A$1:$N$141,12,0)</f>
        <v>3</v>
      </c>
      <c r="M125" s="3" t="str">
        <f>VLOOKUP($A125,'Employee Details'!$A$1:$N$141,13,0)</f>
        <v>Other</v>
      </c>
    </row>
    <row r="126" spans="1:13" x14ac:dyDescent="0.25">
      <c r="A126" s="3" t="s">
        <v>244</v>
      </c>
      <c r="B126" s="3" t="str">
        <f>VLOOKUP($A126,'Employee Details'!$A$1:$N$141,2,0)</f>
        <v>Chris Lee</v>
      </c>
      <c r="C126" s="3" t="str">
        <f>VLOOKUP($A126,'Employee Details'!$A$1:$N$141,3,0)</f>
        <v>Chris</v>
      </c>
      <c r="D126" s="3" t="str">
        <f>VLOOKUP($A126,'Employee Details'!$A$1:$N$141,4,0)</f>
        <v>Lee</v>
      </c>
      <c r="E126" s="3" t="str">
        <f>VLOOKUP($A126,'Employee Details'!$A$1:$N$141,5,0)</f>
        <v>HR</v>
      </c>
      <c r="F126" s="3" t="str">
        <f>VLOOKUP($A126,'Employee Details'!$A$1:$N$141,6,0)</f>
        <v>Germany</v>
      </c>
      <c r="G126" s="3">
        <f>VLOOKUP($A126,'Employee Details'!$A$1:$N$141,7,0)</f>
        <v>45758</v>
      </c>
      <c r="H126" s="3" t="str">
        <f>VLOOKUP($A126,'Employee Details'!$A$1:$N$141,8,0)</f>
        <v>Good Salary</v>
      </c>
      <c r="I126" s="13">
        <f>VLOOKUP($A126,'Employee Details'!$A$1:$N$141,9,0)</f>
        <v>42939</v>
      </c>
      <c r="J126" s="3" t="str">
        <f>VLOOKUP($A126,'Employee Details'!$A$1:$N$141,10,0)</f>
        <v>July</v>
      </c>
      <c r="K126" s="3">
        <f ca="1">VLOOKUP($A126,'Employee Details'!$A$1:$N$141,11,0)</f>
        <v>3221</v>
      </c>
      <c r="L126" s="3">
        <f>VLOOKUP($A126,'Employee Details'!$A$1:$N$141,12,0)</f>
        <v>3</v>
      </c>
      <c r="M126" s="3" t="str">
        <f>VLOOKUP($A126,'Employee Details'!$A$1:$N$141,13,0)</f>
        <v>Not Specified</v>
      </c>
    </row>
    <row r="127" spans="1:13" x14ac:dyDescent="0.25">
      <c r="A127" s="3" t="s">
        <v>245</v>
      </c>
      <c r="B127" s="3" t="str">
        <f>VLOOKUP($A127,'Employee Details'!$A$1:$N$141,2,0)</f>
        <v>Eve Adams</v>
      </c>
      <c r="C127" s="3" t="str">
        <f>VLOOKUP($A127,'Employee Details'!$A$1:$N$141,3,0)</f>
        <v>Eve</v>
      </c>
      <c r="D127" s="3" t="str">
        <f>VLOOKUP($A127,'Employee Details'!$A$1:$N$141,4,0)</f>
        <v>Adams</v>
      </c>
      <c r="E127" s="3" t="str">
        <f>VLOOKUP($A127,'Employee Details'!$A$1:$N$141,5,0)</f>
        <v>Marketing</v>
      </c>
      <c r="F127" s="3" t="str">
        <f>VLOOKUP($A127,'Employee Details'!$A$1:$N$141,6,0)</f>
        <v>India</v>
      </c>
      <c r="G127" s="3">
        <f>VLOOKUP($A127,'Employee Details'!$A$1:$N$141,7,0)</f>
        <v>62476</v>
      </c>
      <c r="H127" s="3" t="str">
        <f>VLOOKUP($A127,'Employee Details'!$A$1:$N$141,8,0)</f>
        <v>Good Salary</v>
      </c>
      <c r="I127" s="13">
        <f>VLOOKUP($A127,'Employee Details'!$A$1:$N$141,9,0)</f>
        <v>42946</v>
      </c>
      <c r="J127" s="3" t="str">
        <f>VLOOKUP($A127,'Employee Details'!$A$1:$N$141,10,0)</f>
        <v>July</v>
      </c>
      <c r="K127" s="3">
        <f ca="1">VLOOKUP($A127,'Employee Details'!$A$1:$N$141,11,0)</f>
        <v>3214</v>
      </c>
      <c r="L127" s="3">
        <f>VLOOKUP($A127,'Employee Details'!$A$1:$N$141,12,0)</f>
        <v>1</v>
      </c>
      <c r="M127" s="3" t="str">
        <f>VLOOKUP($A127,'Employee Details'!$A$1:$N$141,13,0)</f>
        <v>Other</v>
      </c>
    </row>
    <row r="128" spans="1:13" x14ac:dyDescent="0.25">
      <c r="A128" s="3" t="s">
        <v>246</v>
      </c>
      <c r="B128" s="3" t="str">
        <f>VLOOKUP($A128,'Employee Details'!$A$1:$N$141,2,0)</f>
        <v>Jane Smith</v>
      </c>
      <c r="C128" s="3" t="str">
        <f>VLOOKUP($A128,'Employee Details'!$A$1:$N$141,3,0)</f>
        <v>Jane</v>
      </c>
      <c r="D128" s="3" t="str">
        <f>VLOOKUP($A128,'Employee Details'!$A$1:$N$141,4,0)</f>
        <v>Smith</v>
      </c>
      <c r="E128" s="3" t="str">
        <f>VLOOKUP($A128,'Employee Details'!$A$1:$N$141,5,0)</f>
        <v>Finance</v>
      </c>
      <c r="F128" s="3" t="str">
        <f>VLOOKUP($A128,'Employee Details'!$A$1:$N$141,6,0)</f>
        <v>India</v>
      </c>
      <c r="G128" s="3">
        <f>VLOOKUP($A128,'Employee Details'!$A$1:$N$141,7,0)</f>
        <v>60335</v>
      </c>
      <c r="H128" s="3" t="str">
        <f>VLOOKUP($A128,'Employee Details'!$A$1:$N$141,8,0)</f>
        <v>Good Salary</v>
      </c>
      <c r="I128" s="13">
        <f>VLOOKUP($A128,'Employee Details'!$A$1:$N$141,9,0)</f>
        <v>42960</v>
      </c>
      <c r="J128" s="3" t="str">
        <f>VLOOKUP($A128,'Employee Details'!$A$1:$N$141,10,0)</f>
        <v>August</v>
      </c>
      <c r="K128" s="3">
        <f ca="1">VLOOKUP($A128,'Employee Details'!$A$1:$N$141,11,0)</f>
        <v>3200</v>
      </c>
      <c r="L128" s="3">
        <f>VLOOKUP($A128,'Employee Details'!$A$1:$N$141,12,0)</f>
        <v>4</v>
      </c>
      <c r="M128" s="3" t="str">
        <f>VLOOKUP($A128,'Employee Details'!$A$1:$N$141,13,0)</f>
        <v>Other</v>
      </c>
    </row>
    <row r="129" spans="1:13" x14ac:dyDescent="0.25">
      <c r="A129" s="3" t="s">
        <v>247</v>
      </c>
      <c r="B129" s="3" t="str">
        <f>VLOOKUP($A129,'Employee Details'!$A$1:$N$141,2,0)</f>
        <v>Chris Lee</v>
      </c>
      <c r="C129" s="3" t="str">
        <f>VLOOKUP($A129,'Employee Details'!$A$1:$N$141,3,0)</f>
        <v>Chris</v>
      </c>
      <c r="D129" s="3" t="str">
        <f>VLOOKUP($A129,'Employee Details'!$A$1:$N$141,4,0)</f>
        <v>Lee</v>
      </c>
      <c r="E129" s="3" t="str">
        <f>VLOOKUP($A129,'Employee Details'!$A$1:$N$141,5,0)</f>
        <v>HR</v>
      </c>
      <c r="F129" s="3" t="str">
        <f>VLOOKUP($A129,'Employee Details'!$A$1:$N$141,6,0)</f>
        <v>Germany</v>
      </c>
      <c r="G129" s="3">
        <f>VLOOKUP($A129,'Employee Details'!$A$1:$N$141,7,0)</f>
        <v>84968</v>
      </c>
      <c r="H129" s="3" t="str">
        <f>VLOOKUP($A129,'Employee Details'!$A$1:$N$141,8,0)</f>
        <v>High Salary</v>
      </c>
      <c r="I129" s="13">
        <f>VLOOKUP($A129,'Employee Details'!$A$1:$N$141,9,0)</f>
        <v>42967</v>
      </c>
      <c r="J129" s="3" t="str">
        <f>VLOOKUP($A129,'Employee Details'!$A$1:$N$141,10,0)</f>
        <v>August</v>
      </c>
      <c r="K129" s="3">
        <f ca="1">VLOOKUP($A129,'Employee Details'!$A$1:$N$141,11,0)</f>
        <v>3193</v>
      </c>
      <c r="L129" s="3">
        <f>VLOOKUP($A129,'Employee Details'!$A$1:$N$141,12,0)</f>
        <v>3</v>
      </c>
      <c r="M129" s="3" t="str">
        <f>VLOOKUP($A129,'Employee Details'!$A$1:$N$141,13,0)</f>
        <v>Not Specified</v>
      </c>
    </row>
    <row r="130" spans="1:13" x14ac:dyDescent="0.25">
      <c r="A130" s="3" t="s">
        <v>249</v>
      </c>
      <c r="B130" s="3" t="str">
        <f>VLOOKUP($A130,'Employee Details'!$A$1:$N$141,2,0)</f>
        <v>Chris Lee</v>
      </c>
      <c r="C130" s="3" t="str">
        <f>VLOOKUP($A130,'Employee Details'!$A$1:$N$141,3,0)</f>
        <v>Chris</v>
      </c>
      <c r="D130" s="3" t="str">
        <f>VLOOKUP($A130,'Employee Details'!$A$1:$N$141,4,0)</f>
        <v>Lee</v>
      </c>
      <c r="E130" s="3" t="str">
        <f>VLOOKUP($A130,'Employee Details'!$A$1:$N$141,5,0)</f>
        <v>Marketing</v>
      </c>
      <c r="F130" s="3" t="str">
        <f>VLOOKUP($A130,'Employee Details'!$A$1:$N$141,6,0)</f>
        <v>Australia</v>
      </c>
      <c r="G130" s="3">
        <f>VLOOKUP($A130,'Employee Details'!$A$1:$N$141,7,0)</f>
        <v>84750</v>
      </c>
      <c r="H130" s="3" t="str">
        <f>VLOOKUP($A130,'Employee Details'!$A$1:$N$141,8,0)</f>
        <v>High Salary</v>
      </c>
      <c r="I130" s="13">
        <f>VLOOKUP($A130,'Employee Details'!$A$1:$N$141,9,0)</f>
        <v>42974</v>
      </c>
      <c r="J130" s="3" t="str">
        <f>VLOOKUP($A130,'Employee Details'!$A$1:$N$141,10,0)</f>
        <v>August</v>
      </c>
      <c r="K130" s="3">
        <f ca="1">VLOOKUP($A130,'Employee Details'!$A$1:$N$141,11,0)</f>
        <v>3186</v>
      </c>
      <c r="L130" s="3">
        <f>VLOOKUP($A130,'Employee Details'!$A$1:$N$141,12,0)</f>
        <v>4</v>
      </c>
      <c r="M130" s="3" t="str">
        <f>VLOOKUP($A130,'Employee Details'!$A$1:$N$141,13,0)</f>
        <v>Female</v>
      </c>
    </row>
    <row r="131" spans="1:13" x14ac:dyDescent="0.25">
      <c r="A131" s="3" t="s">
        <v>250</v>
      </c>
      <c r="B131" s="3" t="str">
        <f>VLOOKUP($A131,'Employee Details'!$A$1:$N$141,2,0)</f>
        <v>Bob Johnson</v>
      </c>
      <c r="C131" s="3" t="str">
        <f>VLOOKUP($A131,'Employee Details'!$A$1:$N$141,3,0)</f>
        <v>Bob</v>
      </c>
      <c r="D131" s="3" t="str">
        <f>VLOOKUP($A131,'Employee Details'!$A$1:$N$141,4,0)</f>
        <v>Johnson</v>
      </c>
      <c r="E131" s="3" t="str">
        <f>VLOOKUP($A131,'Employee Details'!$A$1:$N$141,5,0)</f>
        <v>IT</v>
      </c>
      <c r="F131" s="3" t="str">
        <f>VLOOKUP($A131,'Employee Details'!$A$1:$N$141,6,0)</f>
        <v>India</v>
      </c>
      <c r="G131" s="3">
        <f>VLOOKUP($A131,'Employee Details'!$A$1:$N$141,7,0)</f>
        <v>73348</v>
      </c>
      <c r="H131" s="3" t="str">
        <f>VLOOKUP($A131,'Employee Details'!$A$1:$N$141,8,0)</f>
        <v>High Salary</v>
      </c>
      <c r="I131" s="13">
        <f>VLOOKUP($A131,'Employee Details'!$A$1:$N$141,9,0)</f>
        <v>42981</v>
      </c>
      <c r="J131" s="3" t="str">
        <f>VLOOKUP($A131,'Employee Details'!$A$1:$N$141,10,0)</f>
        <v>September</v>
      </c>
      <c r="K131" s="3">
        <f ca="1">VLOOKUP($A131,'Employee Details'!$A$1:$N$141,11,0)</f>
        <v>3179</v>
      </c>
      <c r="L131" s="3">
        <f>VLOOKUP($A131,'Employee Details'!$A$1:$N$141,12,0)</f>
        <v>2</v>
      </c>
      <c r="M131" s="3" t="str">
        <f>VLOOKUP($A131,'Employee Details'!$A$1:$N$141,13,0)</f>
        <v>Not Specified</v>
      </c>
    </row>
    <row r="132" spans="1:13" x14ac:dyDescent="0.25">
      <c r="A132" s="3" t="s">
        <v>251</v>
      </c>
      <c r="B132" s="3" t="str">
        <f>VLOOKUP($A132,'Employee Details'!$A$1:$N$141,2,0)</f>
        <v>Chris Lee</v>
      </c>
      <c r="C132" s="3" t="str">
        <f>VLOOKUP($A132,'Employee Details'!$A$1:$N$141,3,0)</f>
        <v>Chris</v>
      </c>
      <c r="D132" s="3" t="str">
        <f>VLOOKUP($A132,'Employee Details'!$A$1:$N$141,4,0)</f>
        <v>Lee</v>
      </c>
      <c r="E132" s="3" t="str">
        <f>VLOOKUP($A132,'Employee Details'!$A$1:$N$141,5,0)</f>
        <v>Sales</v>
      </c>
      <c r="F132" s="3" t="str">
        <f>VLOOKUP($A132,'Employee Details'!$A$1:$N$141,6,0)</f>
        <v>USA</v>
      </c>
      <c r="G132" s="3">
        <f>VLOOKUP($A132,'Employee Details'!$A$1:$N$141,7,0)</f>
        <v>65882</v>
      </c>
      <c r="H132" s="3" t="str">
        <f>VLOOKUP($A132,'Employee Details'!$A$1:$N$141,8,0)</f>
        <v>Good Salary</v>
      </c>
      <c r="I132" s="13">
        <f>VLOOKUP($A132,'Employee Details'!$A$1:$N$141,9,0)</f>
        <v>42988</v>
      </c>
      <c r="J132" s="3" t="str">
        <f>VLOOKUP($A132,'Employee Details'!$A$1:$N$141,10,0)</f>
        <v>September</v>
      </c>
      <c r="K132" s="3">
        <f ca="1">VLOOKUP($A132,'Employee Details'!$A$1:$N$141,11,0)</f>
        <v>3172</v>
      </c>
      <c r="L132" s="3">
        <f>VLOOKUP($A132,'Employee Details'!$A$1:$N$141,12,0)</f>
        <v>4</v>
      </c>
      <c r="M132" s="3" t="str">
        <f>VLOOKUP($A132,'Employee Details'!$A$1:$N$141,13,0)</f>
        <v>Other</v>
      </c>
    </row>
    <row r="133" spans="1:13" x14ac:dyDescent="0.25">
      <c r="A133" s="3" t="s">
        <v>252</v>
      </c>
      <c r="B133" s="3" t="str">
        <f>VLOOKUP($A133,'Employee Details'!$A$1:$N$141,2,0)</f>
        <v>Jane Smith</v>
      </c>
      <c r="C133" s="3" t="str">
        <f>VLOOKUP($A133,'Employee Details'!$A$1:$N$141,3,0)</f>
        <v>Jane</v>
      </c>
      <c r="D133" s="3" t="str">
        <f>VLOOKUP($A133,'Employee Details'!$A$1:$N$141,4,0)</f>
        <v>Smith</v>
      </c>
      <c r="E133" s="3" t="str">
        <f>VLOOKUP($A133,'Employee Details'!$A$1:$N$141,5,0)</f>
        <v>Marketing</v>
      </c>
      <c r="F133" s="3" t="str">
        <f>VLOOKUP($A133,'Employee Details'!$A$1:$N$141,6,0)</f>
        <v>USA</v>
      </c>
      <c r="G133" s="3">
        <f>VLOOKUP($A133,'Employee Details'!$A$1:$N$141,7,0)</f>
        <v>66882</v>
      </c>
      <c r="H133" s="3" t="str">
        <f>VLOOKUP($A133,'Employee Details'!$A$1:$N$141,8,0)</f>
        <v>Good Salary</v>
      </c>
      <c r="I133" s="13">
        <f>VLOOKUP($A133,'Employee Details'!$A$1:$N$141,9,0)</f>
        <v>42995</v>
      </c>
      <c r="J133" s="3" t="str">
        <f>VLOOKUP($A133,'Employee Details'!$A$1:$N$141,10,0)</f>
        <v>September</v>
      </c>
      <c r="K133" s="3">
        <f ca="1">VLOOKUP($A133,'Employee Details'!$A$1:$N$141,11,0)</f>
        <v>3165</v>
      </c>
      <c r="L133" s="3">
        <f>VLOOKUP($A133,'Employee Details'!$A$1:$N$141,12,0)</f>
        <v>5</v>
      </c>
      <c r="M133" s="3" t="str">
        <f>VLOOKUP($A133,'Employee Details'!$A$1:$N$141,13,0)</f>
        <v>Other</v>
      </c>
    </row>
    <row r="134" spans="1:13" x14ac:dyDescent="0.25">
      <c r="A134" s="3" t="s">
        <v>253</v>
      </c>
      <c r="B134" s="3" t="str">
        <f>VLOOKUP($A134,'Employee Details'!$A$1:$N$141,2,0)</f>
        <v>Alice Brown</v>
      </c>
      <c r="C134" s="3" t="str">
        <f>VLOOKUP($A134,'Employee Details'!$A$1:$N$141,3,0)</f>
        <v>Alice</v>
      </c>
      <c r="D134" s="3" t="str">
        <f>VLOOKUP($A134,'Employee Details'!$A$1:$N$141,4,0)</f>
        <v>Brown</v>
      </c>
      <c r="E134" s="3" t="str">
        <f>VLOOKUP($A134,'Employee Details'!$A$1:$N$141,5,0)</f>
        <v>Marketing</v>
      </c>
      <c r="F134" s="3" t="str">
        <f>VLOOKUP($A134,'Employee Details'!$A$1:$N$141,6,0)</f>
        <v>India</v>
      </c>
      <c r="G134" s="3">
        <f>VLOOKUP($A134,'Employee Details'!$A$1:$N$141,7,0)</f>
        <v>86775</v>
      </c>
      <c r="H134" s="3" t="str">
        <f>VLOOKUP($A134,'Employee Details'!$A$1:$N$141,8,0)</f>
        <v>High Salary</v>
      </c>
      <c r="I134" s="13">
        <f>VLOOKUP($A134,'Employee Details'!$A$1:$N$141,9,0)</f>
        <v>43002</v>
      </c>
      <c r="J134" s="3" t="str">
        <f>VLOOKUP($A134,'Employee Details'!$A$1:$N$141,10,0)</f>
        <v>September</v>
      </c>
      <c r="K134" s="3">
        <f ca="1">VLOOKUP($A134,'Employee Details'!$A$1:$N$141,11,0)</f>
        <v>3158</v>
      </c>
      <c r="L134" s="3">
        <f>VLOOKUP($A134,'Employee Details'!$A$1:$N$141,12,0)</f>
        <v>3</v>
      </c>
      <c r="M134" s="3" t="str">
        <f>VLOOKUP($A134,'Employee Details'!$A$1:$N$141,13,0)</f>
        <v>Other</v>
      </c>
    </row>
    <row r="135" spans="1:13" x14ac:dyDescent="0.25">
      <c r="A135" s="3" t="s">
        <v>254</v>
      </c>
      <c r="B135" s="3" t="str">
        <f>VLOOKUP($A135,'Employee Details'!$A$1:$N$141,2,0)</f>
        <v>Chris Lee</v>
      </c>
      <c r="C135" s="3" t="str">
        <f>VLOOKUP($A135,'Employee Details'!$A$1:$N$141,3,0)</f>
        <v>Chris</v>
      </c>
      <c r="D135" s="3" t="str">
        <f>VLOOKUP($A135,'Employee Details'!$A$1:$N$141,4,0)</f>
        <v>Lee</v>
      </c>
      <c r="E135" s="3" t="str">
        <f>VLOOKUP($A135,'Employee Details'!$A$1:$N$141,5,0)</f>
        <v>Sales</v>
      </c>
      <c r="F135" s="3" t="str">
        <f>VLOOKUP($A135,'Employee Details'!$A$1:$N$141,6,0)</f>
        <v>UK</v>
      </c>
      <c r="G135" s="3">
        <f>VLOOKUP($A135,'Employee Details'!$A$1:$N$141,7,0)</f>
        <v>91620</v>
      </c>
      <c r="H135" s="3" t="str">
        <f>VLOOKUP($A135,'Employee Details'!$A$1:$N$141,8,0)</f>
        <v>High Salary</v>
      </c>
      <c r="I135" s="13">
        <f>VLOOKUP($A135,'Employee Details'!$A$1:$N$141,9,0)</f>
        <v>43009</v>
      </c>
      <c r="J135" s="3" t="str">
        <f>VLOOKUP($A135,'Employee Details'!$A$1:$N$141,10,0)</f>
        <v>October</v>
      </c>
      <c r="K135" s="3">
        <f ca="1">VLOOKUP($A135,'Employee Details'!$A$1:$N$141,11,0)</f>
        <v>3151</v>
      </c>
      <c r="L135" s="3">
        <f>VLOOKUP($A135,'Employee Details'!$A$1:$N$141,12,0)</f>
        <v>3</v>
      </c>
      <c r="M135" s="3" t="str">
        <f>VLOOKUP($A135,'Employee Details'!$A$1:$N$141,13,0)</f>
        <v>Not Specified</v>
      </c>
    </row>
    <row r="136" spans="1:13" x14ac:dyDescent="0.25">
      <c r="A136" s="3" t="s">
        <v>256</v>
      </c>
      <c r="B136" s="3" t="str">
        <f>VLOOKUP($A136,'Employee Details'!$A$1:$N$141,2,0)</f>
        <v>Eve Adams</v>
      </c>
      <c r="C136" s="3" t="str">
        <f>VLOOKUP($A136,'Employee Details'!$A$1:$N$141,3,0)</f>
        <v>Eve</v>
      </c>
      <c r="D136" s="3" t="str">
        <f>VLOOKUP($A136,'Employee Details'!$A$1:$N$141,4,0)</f>
        <v>Adams</v>
      </c>
      <c r="E136" s="3" t="str">
        <f>VLOOKUP($A136,'Employee Details'!$A$1:$N$141,5,0)</f>
        <v>Marketing</v>
      </c>
      <c r="F136" s="3" t="str">
        <f>VLOOKUP($A136,'Employee Details'!$A$1:$N$141,6,0)</f>
        <v>India</v>
      </c>
      <c r="G136" s="3">
        <f>VLOOKUP($A136,'Employee Details'!$A$1:$N$141,7,0)</f>
        <v>94148</v>
      </c>
      <c r="H136" s="3" t="str">
        <f>VLOOKUP($A136,'Employee Details'!$A$1:$N$141,8,0)</f>
        <v>High Salary</v>
      </c>
      <c r="I136" s="13">
        <f>VLOOKUP($A136,'Employee Details'!$A$1:$N$141,9,0)</f>
        <v>43016</v>
      </c>
      <c r="J136" s="3" t="str">
        <f>VLOOKUP($A136,'Employee Details'!$A$1:$N$141,10,0)</f>
        <v>October</v>
      </c>
      <c r="K136" s="3">
        <f ca="1">VLOOKUP($A136,'Employee Details'!$A$1:$N$141,11,0)</f>
        <v>3144</v>
      </c>
      <c r="L136" s="3">
        <f>VLOOKUP($A136,'Employee Details'!$A$1:$N$141,12,0)</f>
        <v>2</v>
      </c>
      <c r="M136" s="3" t="str">
        <f>VLOOKUP($A136,'Employee Details'!$A$1:$N$141,13,0)</f>
        <v>Not Specified</v>
      </c>
    </row>
    <row r="137" spans="1:13" x14ac:dyDescent="0.25">
      <c r="A137" s="3" t="s">
        <v>258</v>
      </c>
      <c r="B137" s="3" t="str">
        <f>VLOOKUP($A137,'Employee Details'!$A$1:$N$141,2,0)</f>
        <v>Sam Wilson</v>
      </c>
      <c r="C137" s="3" t="str">
        <f>VLOOKUP($A137,'Employee Details'!$A$1:$N$141,3,0)</f>
        <v>Sam</v>
      </c>
      <c r="D137" s="3" t="str">
        <f>VLOOKUP($A137,'Employee Details'!$A$1:$N$141,4,0)</f>
        <v>Wilson</v>
      </c>
      <c r="E137" s="3" t="str">
        <f>VLOOKUP($A137,'Employee Details'!$A$1:$N$141,5,0)</f>
        <v>Sales</v>
      </c>
      <c r="F137" s="3" t="str">
        <f>VLOOKUP($A137,'Employee Details'!$A$1:$N$141,6,0)</f>
        <v>Australia</v>
      </c>
      <c r="G137" s="3">
        <f>VLOOKUP($A137,'Employee Details'!$A$1:$N$141,7,0)</f>
        <v>35627</v>
      </c>
      <c r="H137" s="3" t="str">
        <f>VLOOKUP($A137,'Employee Details'!$A$1:$N$141,8,0)</f>
        <v>Low Salary</v>
      </c>
      <c r="I137" s="13">
        <f>VLOOKUP($A137,'Employee Details'!$A$1:$N$141,9,0)</f>
        <v>43023</v>
      </c>
      <c r="J137" s="3" t="str">
        <f>VLOOKUP($A137,'Employee Details'!$A$1:$N$141,10,0)</f>
        <v>October</v>
      </c>
      <c r="K137" s="3">
        <f ca="1">VLOOKUP($A137,'Employee Details'!$A$1:$N$141,11,0)</f>
        <v>3137</v>
      </c>
      <c r="L137" s="3">
        <f>VLOOKUP($A137,'Employee Details'!$A$1:$N$141,12,0)</f>
        <v>5</v>
      </c>
      <c r="M137" s="3" t="str">
        <f>VLOOKUP($A137,'Employee Details'!$A$1:$N$141,13,0)</f>
        <v>Female</v>
      </c>
    </row>
    <row r="138" spans="1:13" x14ac:dyDescent="0.25">
      <c r="A138" s="3" t="s">
        <v>259</v>
      </c>
      <c r="B138" s="3" t="str">
        <f>VLOOKUP($A138,'Employee Details'!$A$1:$N$141,2,0)</f>
        <v>John Doe</v>
      </c>
      <c r="C138" s="3" t="str">
        <f>VLOOKUP($A138,'Employee Details'!$A$1:$N$141,3,0)</f>
        <v>John</v>
      </c>
      <c r="D138" s="3" t="str">
        <f>VLOOKUP($A138,'Employee Details'!$A$1:$N$141,4,0)</f>
        <v>Doe</v>
      </c>
      <c r="E138" s="3" t="str">
        <f>VLOOKUP($A138,'Employee Details'!$A$1:$N$141,5,0)</f>
        <v>Marketing</v>
      </c>
      <c r="F138" s="3" t="str">
        <f>VLOOKUP($A138,'Employee Details'!$A$1:$N$141,6,0)</f>
        <v>USA</v>
      </c>
      <c r="G138" s="3">
        <f>VLOOKUP($A138,'Employee Details'!$A$1:$N$141,7,0)</f>
        <v>57141</v>
      </c>
      <c r="H138" s="3" t="str">
        <f>VLOOKUP($A138,'Employee Details'!$A$1:$N$141,8,0)</f>
        <v>Good Salary</v>
      </c>
      <c r="I138" s="13">
        <f>VLOOKUP($A138,'Employee Details'!$A$1:$N$141,9,0)</f>
        <v>43030</v>
      </c>
      <c r="J138" s="3" t="str">
        <f>VLOOKUP($A138,'Employee Details'!$A$1:$N$141,10,0)</f>
        <v>October</v>
      </c>
      <c r="K138" s="3">
        <f ca="1">VLOOKUP($A138,'Employee Details'!$A$1:$N$141,11,0)</f>
        <v>3130</v>
      </c>
      <c r="L138" s="3">
        <f>VLOOKUP($A138,'Employee Details'!$A$1:$N$141,12,0)</f>
        <v>2</v>
      </c>
      <c r="M138" s="3" t="str">
        <f>VLOOKUP($A138,'Employee Details'!$A$1:$N$141,13,0)</f>
        <v>Not Specified</v>
      </c>
    </row>
    <row r="139" spans="1:13" x14ac:dyDescent="0.25">
      <c r="A139" s="3" t="s">
        <v>260</v>
      </c>
      <c r="B139" s="3" t="str">
        <f>VLOOKUP($A139,'Employee Details'!$A$1:$N$141,2,0)</f>
        <v>Bob Johnson</v>
      </c>
      <c r="C139" s="3" t="str">
        <f>VLOOKUP($A139,'Employee Details'!$A$1:$N$141,3,0)</f>
        <v>Bob</v>
      </c>
      <c r="D139" s="3" t="str">
        <f>VLOOKUP($A139,'Employee Details'!$A$1:$N$141,4,0)</f>
        <v>Johnson</v>
      </c>
      <c r="E139" s="3" t="str">
        <f>VLOOKUP($A139,'Employee Details'!$A$1:$N$141,5,0)</f>
        <v>Sales</v>
      </c>
      <c r="F139" s="3" t="str">
        <f>VLOOKUP($A139,'Employee Details'!$A$1:$N$141,6,0)</f>
        <v>Australia</v>
      </c>
      <c r="G139" s="3">
        <f>VLOOKUP($A139,'Employee Details'!$A$1:$N$141,7,0)</f>
        <v>65270</v>
      </c>
      <c r="H139" s="3" t="str">
        <f>VLOOKUP($A139,'Employee Details'!$A$1:$N$141,8,0)</f>
        <v>Good Salary</v>
      </c>
      <c r="I139" s="13">
        <f>VLOOKUP($A139,'Employee Details'!$A$1:$N$141,9,0)</f>
        <v>43037</v>
      </c>
      <c r="J139" s="3" t="str">
        <f>VLOOKUP($A139,'Employee Details'!$A$1:$N$141,10,0)</f>
        <v>October</v>
      </c>
      <c r="K139" s="3">
        <f ca="1">VLOOKUP($A139,'Employee Details'!$A$1:$N$141,11,0)</f>
        <v>3123</v>
      </c>
      <c r="L139" s="3">
        <f>VLOOKUP($A139,'Employee Details'!$A$1:$N$141,12,0)</f>
        <v>1</v>
      </c>
      <c r="M139" s="3" t="str">
        <f>VLOOKUP($A139,'Employee Details'!$A$1:$N$141,13,0)</f>
        <v>Not Specified</v>
      </c>
    </row>
    <row r="140" spans="1:13" x14ac:dyDescent="0.25">
      <c r="A140" s="3" t="s">
        <v>262</v>
      </c>
      <c r="B140" s="3" t="str">
        <f>VLOOKUP($A140,'Employee Details'!$A$1:$N$141,2,0)</f>
        <v>Bob Johnson</v>
      </c>
      <c r="C140" s="3" t="str">
        <f>VLOOKUP($A140,'Employee Details'!$A$1:$N$141,3,0)</f>
        <v>Bob</v>
      </c>
      <c r="D140" s="3" t="str">
        <f>VLOOKUP($A140,'Employee Details'!$A$1:$N$141,4,0)</f>
        <v>Johnson</v>
      </c>
      <c r="E140" s="3" t="str">
        <f>VLOOKUP($A140,'Employee Details'!$A$1:$N$141,5,0)</f>
        <v>Marketing</v>
      </c>
      <c r="F140" s="3" t="str">
        <f>VLOOKUP($A140,'Employee Details'!$A$1:$N$141,6,0)</f>
        <v>UK</v>
      </c>
      <c r="G140" s="3">
        <f>VLOOKUP($A140,'Employee Details'!$A$1:$N$141,7,0)</f>
        <v>67335</v>
      </c>
      <c r="H140" s="3" t="str">
        <f>VLOOKUP($A140,'Employee Details'!$A$1:$N$141,8,0)</f>
        <v>Good Salary</v>
      </c>
      <c r="I140" s="13">
        <f>VLOOKUP($A140,'Employee Details'!$A$1:$N$141,9,0)</f>
        <v>43044</v>
      </c>
      <c r="J140" s="3" t="str">
        <f>VLOOKUP($A140,'Employee Details'!$A$1:$N$141,10,0)</f>
        <v>November</v>
      </c>
      <c r="K140" s="3">
        <f ca="1">VLOOKUP($A140,'Employee Details'!$A$1:$N$141,11,0)</f>
        <v>3116</v>
      </c>
      <c r="L140" s="3">
        <f>VLOOKUP($A140,'Employee Details'!$A$1:$N$141,12,0)</f>
        <v>1</v>
      </c>
      <c r="M140" s="3" t="str">
        <f>VLOOKUP($A140,'Employee Details'!$A$1:$N$141,13,0)</f>
        <v>Other</v>
      </c>
    </row>
    <row r="141" spans="1:13" x14ac:dyDescent="0.25">
      <c r="A141" s="3" t="s">
        <v>263</v>
      </c>
      <c r="B141" s="3" t="str">
        <f>VLOOKUP($A141,'Employee Details'!$A$1:$N$141,2,0)</f>
        <v>Sam Wilson</v>
      </c>
      <c r="C141" s="3" t="str">
        <f>VLOOKUP($A141,'Employee Details'!$A$1:$N$141,3,0)</f>
        <v>Sam</v>
      </c>
      <c r="D141" s="3" t="str">
        <f>VLOOKUP($A141,'Employee Details'!$A$1:$N$141,4,0)</f>
        <v>Wilson</v>
      </c>
      <c r="E141" s="3" t="str">
        <f>VLOOKUP($A141,'Employee Details'!$A$1:$N$141,5,0)</f>
        <v>Marketing</v>
      </c>
      <c r="F141" s="3" t="str">
        <f>VLOOKUP($A141,'Employee Details'!$A$1:$N$141,6,0)</f>
        <v>India</v>
      </c>
      <c r="G141" s="3">
        <f>VLOOKUP($A141,'Employee Details'!$A$1:$N$141,7,0)</f>
        <v>98475</v>
      </c>
      <c r="H141" s="3" t="str">
        <f>VLOOKUP($A141,'Employee Details'!$A$1:$N$141,8,0)</f>
        <v>High Salary</v>
      </c>
      <c r="I141" s="13">
        <f>VLOOKUP($A141,'Employee Details'!$A$1:$N$141,9,0)</f>
        <v>43051</v>
      </c>
      <c r="J141" s="3" t="str">
        <f>VLOOKUP($A141,'Employee Details'!$A$1:$N$141,10,0)</f>
        <v>November</v>
      </c>
      <c r="K141" s="3">
        <f ca="1">VLOOKUP($A141,'Employee Details'!$A$1:$N$141,11,0)</f>
        <v>3109</v>
      </c>
      <c r="L141" s="3">
        <f>VLOOKUP($A141,'Employee Details'!$A$1:$N$141,12,0)</f>
        <v>5</v>
      </c>
      <c r="M141" s="3" t="str">
        <f>VLOOKUP($A141,'Employee Details'!$A$1:$N$141,13,0)</f>
        <v>Other</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9517942-B639-4356-B823-B186F9C7DFE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Pivot</vt:lpstr>
      <vt:lpstr>Employee Details</vt:lpstr>
      <vt:lpstr>Vlookup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Arul Doss muthuraj</dc:creator>
  <cp:lastModifiedBy>Infanta Kennedy</cp:lastModifiedBy>
  <dcterms:created xsi:type="dcterms:W3CDTF">2026-05-03T07:55:28Z</dcterms:created>
  <dcterms:modified xsi:type="dcterms:W3CDTF">2026-05-18T08:04:01Z</dcterms:modified>
</cp:coreProperties>
</file>